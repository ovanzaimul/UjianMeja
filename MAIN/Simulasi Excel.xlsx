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VII\Skripsi\Proposal\MAIN\"/>
    </mc:Choice>
  </mc:AlternateContent>
  <xr:revisionPtr revIDLastSave="0" documentId="13_ncr:1_{566E81D3-8CCC-45AF-A2DD-C11AD85CDB40}" xr6:coauthVersionLast="46" xr6:coauthVersionMax="46" xr10:uidLastSave="{00000000-0000-0000-0000-000000000000}"/>
  <bookViews>
    <workbookView xWindow="-110" yWindow="-110" windowWidth="19420" windowHeight="10420" xr2:uid="{F41C27CE-65AF-4260-B115-BCA0B393B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1" l="1"/>
  <c r="C29" i="1"/>
  <c r="C27" i="1"/>
  <c r="B27" i="1"/>
  <c r="B28" i="1"/>
  <c r="B29" i="1"/>
  <c r="C23" i="1" l="1"/>
  <c r="D23" i="1"/>
  <c r="E23" i="1"/>
  <c r="F23" i="1"/>
  <c r="C22" i="1"/>
  <c r="D22" i="1"/>
  <c r="E22" i="1"/>
  <c r="F22" i="1"/>
  <c r="B23" i="1"/>
  <c r="B22" i="1"/>
  <c r="B21" i="1"/>
  <c r="C21" i="1"/>
  <c r="D21" i="1"/>
  <c r="E21" i="1"/>
  <c r="F21" i="1"/>
  <c r="F11" i="1"/>
</calcChain>
</file>

<file path=xl/sharedStrings.xml><?xml version="1.0" encoding="utf-8"?>
<sst xmlns="http://schemas.openxmlformats.org/spreadsheetml/2006/main" count="71" uniqueCount="30">
  <si>
    <t>Kriteria</t>
  </si>
  <si>
    <t>K1</t>
  </si>
  <si>
    <t>K2</t>
  </si>
  <si>
    <t>K3</t>
  </si>
  <si>
    <t>K4</t>
  </si>
  <si>
    <t>K5</t>
  </si>
  <si>
    <t>Loyalitas</t>
  </si>
  <si>
    <t>Kerjasama</t>
  </si>
  <si>
    <t>Tanggung jawab</t>
  </si>
  <si>
    <t>Inisiatif</t>
  </si>
  <si>
    <t>Penting</t>
  </si>
  <si>
    <t>Cukup Penting</t>
  </si>
  <si>
    <t>Sangat Penting</t>
  </si>
  <si>
    <t>Tidak Penting</t>
  </si>
  <si>
    <t>Karyawan 1</t>
  </si>
  <si>
    <t>Total</t>
  </si>
  <si>
    <t>Karyawan</t>
  </si>
  <si>
    <t>Karyawan 2</t>
  </si>
  <si>
    <t>Karyawan 3</t>
  </si>
  <si>
    <t>←</t>
  </si>
  <si>
    <t>Hasil Normalisasi</t>
  </si>
  <si>
    <t>Dalam metode MAUT total bobot adalah 1</t>
  </si>
  <si>
    <t>Hasil</t>
  </si>
  <si>
    <t>Peringkat</t>
  </si>
  <si>
    <t>HASIL PERANGKINGAN</t>
  </si>
  <si>
    <t>Bobot Kriteria</t>
  </si>
  <si>
    <t>Kejujuran</t>
  </si>
  <si>
    <t>Penilaian dari admin</t>
  </si>
  <si>
    <t>vi</t>
  </si>
  <si>
    <t>Hasil evaluasi kriteria ke – i dari alternatif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</si>
</sst>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</font>
    <font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89649</xdr:colOff>
      <xdr:row>18</xdr:row>
      <xdr:rowOff>224117</xdr:rowOff>
    </xdr:from>
    <xdr:to>
      <xdr:col>9</xdr:col>
      <xdr:colOff>462217</xdr:colOff>
      <xdr:row>22</xdr:row>
      <xdr:rowOff>102552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DCDAF1-6671-46AD-BE2B-F381F54380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726" t="35728" r="58981" b="56592"/>
        <a:stretch/>
      </xdr:blipFill>
      <xdr:spPr>
        <a:xfrm>
          <a:off x="8337178" y="4340411"/>
          <a:ext cx="1597744" cy="804788"/>
        </a:xfrm>
        <a:prstGeom prst="rect">
          <a:avLst/>
        </a:prstGeom>
      </xdr:spPr>
    </xdr:pic>
    <xdr:clientData/>
  </xdr:twoCellAnchor>
  <xdr:twoCellAnchor editAs="oneCell">
    <xdr:from>
      <xdr:col>7</xdr:col>
      <xdr:colOff>29883</xdr:colOff>
      <xdr:row>8</xdr:row>
      <xdr:rowOff>276410</xdr:rowOff>
    </xdr:from>
    <xdr:to>
      <xdr:col>9</xdr:col>
      <xdr:colOff>414657</xdr:colOff>
      <xdr:row>11</xdr:row>
      <xdr:rowOff>169120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609866-9D5E-48FD-A41C-0398A55E2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5118" y="2039469"/>
          <a:ext cx="1609950" cy="714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6</xdr:col>
      <xdr:colOff>435164</xdr:colOff>
      <xdr:row>27</xdr:row>
      <xdr:rowOff>110349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73D744-B43D-45CD-9FDC-9D65F1B34B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3511" t="42406" r="52973" b="50582"/>
        <a:stretch/>
      </xdr:blipFill>
      <xdr:spPr>
        <a:xfrm>
          <a:off x="4467412" y="5737412"/>
          <a:ext cx="3169399" cy="573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131A-5A3E-4E2F-8862-EFC092421637}">
  <dimension ref="A1:O29"/>
  <sheetViews>
    <sheetView tabSelected="1" zoomScale="55" zoomScaleNormal="55" workbookViewId="0">
      <selection activeCell="B21" sqref="B21"/>
    </sheetView>
  </sheetViews>
  <sheetFormatPr defaultRowHeight="14.5" x14ac:dyDescent="0.35"/>
  <cols>
    <col min="1" max="1" width="15.81640625" customWidth="1"/>
    <col min="2" max="2" width="11.26953125" customWidth="1"/>
    <col min="3" max="3" width="14.1796875" customWidth="1"/>
    <col min="4" max="4" width="22.6328125" customWidth="1"/>
    <col min="5" max="5" width="18.54296875" customWidth="1"/>
    <col min="6" max="6" width="20.6328125" customWidth="1"/>
    <col min="7" max="7" width="22.1796875" customWidth="1"/>
  </cols>
  <sheetData>
    <row r="1" spans="1:15" ht="18.5" x14ac:dyDescent="0.45">
      <c r="A1" s="17" t="s">
        <v>0</v>
      </c>
      <c r="B1" s="17"/>
      <c r="C1" s="17"/>
      <c r="D1" s="3">
        <v>4</v>
      </c>
      <c r="E1" s="3">
        <v>3</v>
      </c>
      <c r="F1" s="3">
        <v>2</v>
      </c>
      <c r="G1" s="3">
        <v>1</v>
      </c>
      <c r="H1" s="1"/>
    </row>
    <row r="2" spans="1:15" ht="18.5" x14ac:dyDescent="0.45">
      <c r="A2" s="4" t="s">
        <v>1</v>
      </c>
      <c r="B2" s="18" t="s">
        <v>8</v>
      </c>
      <c r="C2" s="18"/>
      <c r="D2" s="4" t="s">
        <v>12</v>
      </c>
      <c r="E2" s="4" t="s">
        <v>10</v>
      </c>
      <c r="F2" s="4" t="s">
        <v>11</v>
      </c>
      <c r="G2" s="4" t="s">
        <v>13</v>
      </c>
      <c r="H2" s="1"/>
    </row>
    <row r="3" spans="1:15" ht="18.5" x14ac:dyDescent="0.45">
      <c r="A3" s="4" t="s">
        <v>2</v>
      </c>
      <c r="B3" s="18" t="s">
        <v>26</v>
      </c>
      <c r="C3" s="18"/>
      <c r="D3" s="4" t="s">
        <v>12</v>
      </c>
      <c r="E3" s="4" t="s">
        <v>10</v>
      </c>
      <c r="F3" s="4" t="s">
        <v>11</v>
      </c>
      <c r="G3" s="4" t="s">
        <v>13</v>
      </c>
      <c r="H3" s="1"/>
    </row>
    <row r="4" spans="1:15" ht="18.5" x14ac:dyDescent="0.45">
      <c r="A4" s="4" t="s">
        <v>3</v>
      </c>
      <c r="B4" s="18" t="s">
        <v>6</v>
      </c>
      <c r="C4" s="18"/>
      <c r="D4" s="4" t="s">
        <v>12</v>
      </c>
      <c r="E4" s="4" t="s">
        <v>10</v>
      </c>
      <c r="F4" s="4" t="s">
        <v>11</v>
      </c>
      <c r="G4" s="4" t="s">
        <v>13</v>
      </c>
      <c r="H4" s="1"/>
    </row>
    <row r="5" spans="1:15" ht="18.5" x14ac:dyDescent="0.45">
      <c r="A5" s="4" t="s">
        <v>4</v>
      </c>
      <c r="B5" s="18" t="s">
        <v>7</v>
      </c>
      <c r="C5" s="18"/>
      <c r="D5" s="4" t="s">
        <v>12</v>
      </c>
      <c r="E5" s="4" t="s">
        <v>10</v>
      </c>
      <c r="F5" s="4" t="s">
        <v>11</v>
      </c>
      <c r="G5" s="4" t="s">
        <v>13</v>
      </c>
      <c r="H5" s="1"/>
    </row>
    <row r="6" spans="1:15" ht="18.5" x14ac:dyDescent="0.45">
      <c r="A6" s="4" t="s">
        <v>5</v>
      </c>
      <c r="B6" s="18" t="s">
        <v>9</v>
      </c>
      <c r="C6" s="18"/>
      <c r="D6" s="4" t="s">
        <v>12</v>
      </c>
      <c r="E6" s="4" t="s">
        <v>10</v>
      </c>
      <c r="F6" s="4" t="s">
        <v>11</v>
      </c>
      <c r="G6" s="4" t="s">
        <v>13</v>
      </c>
      <c r="H6" s="1"/>
    </row>
    <row r="8" spans="1:15" x14ac:dyDescent="0.35">
      <c r="A8" s="21"/>
      <c r="B8" s="21"/>
      <c r="C8" s="21"/>
      <c r="D8" s="21"/>
      <c r="E8" s="21"/>
      <c r="F8" s="21"/>
      <c r="H8" s="7"/>
      <c r="I8" s="5"/>
      <c r="J8" s="5"/>
      <c r="K8" s="5"/>
      <c r="L8" s="5"/>
      <c r="M8" s="5"/>
      <c r="N8" s="5"/>
      <c r="O8" s="7"/>
    </row>
    <row r="9" spans="1:15" ht="28.5" x14ac:dyDescent="0.35">
      <c r="A9" s="18" t="s">
        <v>25</v>
      </c>
      <c r="B9" s="18"/>
      <c r="C9" s="18"/>
      <c r="D9" s="18"/>
      <c r="E9" s="18"/>
      <c r="F9" s="14" t="s">
        <v>21</v>
      </c>
      <c r="H9" s="7"/>
      <c r="I9" s="5"/>
      <c r="J9" s="5"/>
      <c r="K9" s="5"/>
      <c r="L9" s="5"/>
      <c r="M9" s="5"/>
      <c r="N9" s="5"/>
      <c r="O9" s="7"/>
    </row>
    <row r="10" spans="1:15" ht="18.5" x14ac:dyDescent="0.35">
      <c r="A10" s="4" t="s">
        <v>1</v>
      </c>
      <c r="B10" s="4" t="s">
        <v>2</v>
      </c>
      <c r="C10" s="4" t="s">
        <v>3</v>
      </c>
      <c r="D10" s="4" t="s">
        <v>4</v>
      </c>
      <c r="E10" s="4" t="s">
        <v>5</v>
      </c>
      <c r="F10" s="8" t="s">
        <v>15</v>
      </c>
      <c r="H10" s="7"/>
      <c r="I10" s="5"/>
      <c r="J10" s="5"/>
      <c r="K10" s="5"/>
      <c r="L10" s="5"/>
      <c r="M10" s="5"/>
      <c r="N10" s="5"/>
      <c r="O10" s="7"/>
    </row>
    <row r="11" spans="1:15" ht="18.5" x14ac:dyDescent="0.35">
      <c r="A11" s="4">
        <v>0.1</v>
      </c>
      <c r="B11" s="4">
        <v>0.15</v>
      </c>
      <c r="C11" s="4">
        <v>0.3</v>
      </c>
      <c r="D11" s="4">
        <v>0.2</v>
      </c>
      <c r="E11" s="4">
        <v>0.25</v>
      </c>
      <c r="F11" s="9">
        <f>SUM(A11:E11)</f>
        <v>1</v>
      </c>
      <c r="G11" s="10" t="s">
        <v>19</v>
      </c>
      <c r="H11" s="7"/>
      <c r="I11" s="5"/>
      <c r="J11" s="5"/>
      <c r="K11" s="5"/>
      <c r="L11" s="5"/>
      <c r="M11" s="5"/>
      <c r="N11" s="5"/>
      <c r="O11" s="7"/>
    </row>
    <row r="12" spans="1:15" x14ac:dyDescent="0.35">
      <c r="H12" s="7"/>
      <c r="I12" s="5"/>
      <c r="J12" s="5"/>
      <c r="K12" s="5"/>
      <c r="L12" s="5"/>
      <c r="M12" s="5"/>
      <c r="N12" s="5"/>
      <c r="O12" s="7"/>
    </row>
    <row r="13" spans="1:15" ht="18" x14ac:dyDescent="0.35">
      <c r="A13" s="22" t="s">
        <v>27</v>
      </c>
      <c r="B13" s="23"/>
      <c r="C13" s="23"/>
      <c r="D13" s="23"/>
      <c r="E13" s="23"/>
      <c r="F13" s="24"/>
      <c r="G13" s="12"/>
      <c r="H13" s="16"/>
      <c r="I13" s="16"/>
      <c r="J13" s="16"/>
      <c r="K13" s="16"/>
      <c r="L13" s="16"/>
      <c r="M13" s="16"/>
      <c r="N13" s="6"/>
      <c r="O13" s="7"/>
    </row>
    <row r="14" spans="1:15" ht="18" x14ac:dyDescent="0.35">
      <c r="A14" s="4" t="s">
        <v>16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G14" s="12"/>
      <c r="H14" s="7"/>
      <c r="I14" s="6"/>
      <c r="J14" s="6"/>
      <c r="K14" s="6"/>
      <c r="L14" s="6"/>
      <c r="M14" s="6"/>
      <c r="N14" s="6"/>
      <c r="O14" s="7"/>
    </row>
    <row r="15" spans="1:15" ht="18" x14ac:dyDescent="0.35">
      <c r="A15" s="4" t="s">
        <v>14</v>
      </c>
      <c r="B15" s="4">
        <v>3</v>
      </c>
      <c r="C15" s="4">
        <v>2</v>
      </c>
      <c r="D15" s="4">
        <v>3</v>
      </c>
      <c r="E15" s="4">
        <v>4</v>
      </c>
      <c r="F15" s="4">
        <v>2</v>
      </c>
      <c r="G15" s="12"/>
      <c r="H15" s="7"/>
      <c r="I15" s="5"/>
      <c r="J15" s="5"/>
      <c r="K15" s="5"/>
      <c r="L15" s="5"/>
      <c r="M15" s="5"/>
      <c r="N15" s="5"/>
      <c r="O15" s="7"/>
    </row>
    <row r="16" spans="1:15" ht="18" x14ac:dyDescent="0.35">
      <c r="A16" s="4" t="s">
        <v>17</v>
      </c>
      <c r="B16" s="4">
        <v>2</v>
      </c>
      <c r="C16" s="4">
        <v>1</v>
      </c>
      <c r="D16" s="4">
        <v>2</v>
      </c>
      <c r="E16" s="4">
        <v>3</v>
      </c>
      <c r="F16" s="4">
        <v>3</v>
      </c>
      <c r="G16" s="12"/>
      <c r="H16" s="7"/>
      <c r="I16" s="5"/>
      <c r="J16" s="5"/>
      <c r="K16" s="5"/>
      <c r="L16" s="5"/>
      <c r="M16" s="5"/>
      <c r="N16" s="5"/>
      <c r="O16" s="7"/>
    </row>
    <row r="17" spans="1:15" ht="18" x14ac:dyDescent="0.35">
      <c r="A17" s="4" t="s">
        <v>18</v>
      </c>
      <c r="B17" s="4">
        <v>1</v>
      </c>
      <c r="C17" s="4">
        <v>3</v>
      </c>
      <c r="D17" s="4">
        <v>4</v>
      </c>
      <c r="E17" s="4">
        <v>2</v>
      </c>
      <c r="F17" s="4">
        <v>4</v>
      </c>
      <c r="G17" s="12"/>
      <c r="H17" s="7"/>
      <c r="I17" s="5"/>
      <c r="J17" s="5"/>
      <c r="K17" s="5"/>
      <c r="L17" s="5"/>
      <c r="M17" s="5"/>
      <c r="N17" s="5"/>
      <c r="O17" s="7"/>
    </row>
    <row r="18" spans="1:15" ht="18" x14ac:dyDescent="0.35">
      <c r="A18" s="13"/>
      <c r="B18" s="7"/>
      <c r="C18" s="7"/>
      <c r="D18" s="7"/>
      <c r="E18" s="7"/>
      <c r="F18" s="7"/>
      <c r="G18" s="7"/>
      <c r="H18" s="7"/>
      <c r="I18" s="5"/>
      <c r="J18" s="5"/>
      <c r="K18" s="5"/>
      <c r="L18" s="5"/>
      <c r="M18" s="5"/>
      <c r="N18" s="5"/>
      <c r="O18" s="7"/>
    </row>
    <row r="19" spans="1:15" ht="18" x14ac:dyDescent="0.35">
      <c r="A19" s="25" t="s">
        <v>20</v>
      </c>
      <c r="B19" s="25"/>
      <c r="C19" s="25"/>
      <c r="D19" s="25"/>
      <c r="E19" s="25"/>
      <c r="F19" s="25"/>
      <c r="H19" s="7"/>
      <c r="I19" s="7"/>
      <c r="J19" s="7"/>
      <c r="K19" s="7"/>
      <c r="L19" s="7"/>
      <c r="M19" s="7"/>
      <c r="N19" s="7"/>
      <c r="O19" s="7"/>
    </row>
    <row r="20" spans="1:15" ht="18" x14ac:dyDescent="0.35">
      <c r="A20" s="4" t="s">
        <v>16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15" ht="18.5" x14ac:dyDescent="0.35">
      <c r="A21" s="4" t="s">
        <v>14</v>
      </c>
      <c r="B21" s="4">
        <f>(B15-MIN(B15:B17))/(MAX(B15:B17)-MIN(B15:B17))</f>
        <v>1</v>
      </c>
      <c r="C21" s="4">
        <f t="shared" ref="C21:F21" si="0">(C15-MIN(C15:C17))/(MAX(C15:C17)-MIN(C15:C17))</f>
        <v>0.5</v>
      </c>
      <c r="D21" s="4">
        <f t="shared" si="0"/>
        <v>0.5</v>
      </c>
      <c r="E21" s="4">
        <f t="shared" si="0"/>
        <v>1</v>
      </c>
      <c r="F21" s="4">
        <f t="shared" si="0"/>
        <v>0</v>
      </c>
      <c r="G21" s="10" t="s">
        <v>19</v>
      </c>
      <c r="L21" t="s">
        <v>28</v>
      </c>
      <c r="M21" t="s">
        <v>29</v>
      </c>
    </row>
    <row r="22" spans="1:15" ht="18" x14ac:dyDescent="0.35">
      <c r="A22" s="4" t="s">
        <v>17</v>
      </c>
      <c r="B22" s="4">
        <f>(B16-MIN(B15:B17))/(MAX(B15:B17)-MIN(B15:B17))</f>
        <v>0.5</v>
      </c>
      <c r="C22" s="4">
        <f t="shared" ref="C22:F22" si="1">(C16-MIN(C15:C17))/(MAX(C15:C17)-MIN(C15:C17))</f>
        <v>0</v>
      </c>
      <c r="D22" s="4">
        <f t="shared" si="1"/>
        <v>0</v>
      </c>
      <c r="E22" s="4">
        <f t="shared" si="1"/>
        <v>0.5</v>
      </c>
      <c r="F22" s="4">
        <f t="shared" si="1"/>
        <v>0.5</v>
      </c>
    </row>
    <row r="23" spans="1:15" ht="18" x14ac:dyDescent="0.35">
      <c r="A23" s="4" t="s">
        <v>18</v>
      </c>
      <c r="B23" s="4">
        <f>(B17-MIN(B15:B17))/(MAX(B15:B17)-MIN(B15:B17))</f>
        <v>0</v>
      </c>
      <c r="C23" s="4">
        <f t="shared" ref="C23:F23" si="2">(C17-MIN(C15:C17))/(MAX(C15:C17)-MIN(C15:C17))</f>
        <v>1</v>
      </c>
      <c r="D23" s="4">
        <f t="shared" si="2"/>
        <v>1</v>
      </c>
      <c r="E23" s="4">
        <f t="shared" si="2"/>
        <v>0</v>
      </c>
      <c r="F23" s="4">
        <f t="shared" si="2"/>
        <v>1</v>
      </c>
    </row>
    <row r="24" spans="1:15" ht="18" x14ac:dyDescent="0.35">
      <c r="A24" s="11"/>
      <c r="B24" s="7"/>
    </row>
    <row r="25" spans="1:15" ht="18.5" x14ac:dyDescent="0.45">
      <c r="A25" s="19" t="s">
        <v>24</v>
      </c>
      <c r="B25" s="20"/>
      <c r="C25" s="20"/>
    </row>
    <row r="26" spans="1:15" ht="18" x14ac:dyDescent="0.35">
      <c r="A26" s="4" t="s">
        <v>16</v>
      </c>
      <c r="B26" s="4" t="s">
        <v>22</v>
      </c>
      <c r="C26" s="4" t="s">
        <v>23</v>
      </c>
    </row>
    <row r="27" spans="1:15" ht="18.5" x14ac:dyDescent="0.35">
      <c r="A27" s="4" t="s">
        <v>14</v>
      </c>
      <c r="B27" s="4">
        <f>B21*$A$11+C21*$B$11+D21*$C$11+E21*$D$11+F21*$E$11</f>
        <v>0.52499999999999991</v>
      </c>
      <c r="C27" s="2" t="str">
        <f>IF(B27=MAX(B27:B29),"1",IF(B27=MIN(B27:B29),"3","2"))</f>
        <v>2</v>
      </c>
      <c r="D27" s="10" t="s">
        <v>19</v>
      </c>
    </row>
    <row r="28" spans="1:15" ht="18" x14ac:dyDescent="0.35">
      <c r="A28" s="4" t="s">
        <v>17</v>
      </c>
      <c r="B28" s="4">
        <f t="shared" ref="B28:B29" si="3">B22*$A$11+C22*$B$11+D22*$C$11+E22*$D$11+F22*$E$11</f>
        <v>0.27500000000000002</v>
      </c>
      <c r="C28" s="3" t="str">
        <f t="shared" ref="C28:C29" si="4">IF(B28=MAX(B28:B30),"1",IF(B28=MIN(B28:B30),"3","2"))</f>
        <v>3</v>
      </c>
    </row>
    <row r="29" spans="1:15" ht="18" x14ac:dyDescent="0.35">
      <c r="A29" s="4" t="s">
        <v>18</v>
      </c>
      <c r="B29" s="4">
        <f t="shared" si="3"/>
        <v>0.7</v>
      </c>
      <c r="C29" s="15" t="str">
        <f t="shared" si="4"/>
        <v>1</v>
      </c>
    </row>
  </sheetData>
  <mergeCells count="12">
    <mergeCell ref="A25:C25"/>
    <mergeCell ref="B6:C6"/>
    <mergeCell ref="A8:F8"/>
    <mergeCell ref="A9:E9"/>
    <mergeCell ref="A13:F13"/>
    <mergeCell ref="A19:F19"/>
    <mergeCell ref="H13:M13"/>
    <mergeCell ref="A1:C1"/>
    <mergeCell ref="B2:C2"/>
    <mergeCell ref="B3:C3"/>
    <mergeCell ref="B4:C4"/>
    <mergeCell ref="B5:C5"/>
  </mergeCells>
  <phoneticPr fontId="4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62821</dc:creator>
  <cp:lastModifiedBy>62821</cp:lastModifiedBy>
  <dcterms:created xsi:type="dcterms:W3CDTF">2021-02-24T08:04:09Z</dcterms:created>
  <dcterms:modified xsi:type="dcterms:W3CDTF">2021-02-24T22:20:47Z</dcterms:modified>
</cp:coreProperties>
</file>