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VII\Skripsi\UjianMeja\MAIN\"/>
    </mc:Choice>
  </mc:AlternateContent>
  <xr:revisionPtr revIDLastSave="0" documentId="13_ncr:1_{FA1BE0A6-FA2D-4409-B7C5-C332204331F5}" xr6:coauthVersionLast="46" xr6:coauthVersionMax="46" xr10:uidLastSave="{00000000-0000-0000-0000-000000000000}"/>
  <bookViews>
    <workbookView xWindow="-110" yWindow="-110" windowWidth="19420" windowHeight="10420" activeTab="2" xr2:uid="{F41C27CE-65AF-4260-B115-BCA0B393B57E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9" i="1" l="1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10" i="3"/>
  <c r="C25" i="2"/>
  <c r="B36" i="2" s="1"/>
  <c r="B42" i="2"/>
  <c r="B37" i="2"/>
  <c r="B38" i="2"/>
  <c r="B39" i="2"/>
  <c r="C31" i="2"/>
  <c r="D31" i="2"/>
  <c r="E31" i="2"/>
  <c r="F31" i="2"/>
  <c r="C30" i="2"/>
  <c r="B41" i="2" s="1"/>
  <c r="D30" i="2"/>
  <c r="E30" i="2"/>
  <c r="F30" i="2"/>
  <c r="B31" i="2"/>
  <c r="B30" i="2"/>
  <c r="C29" i="2"/>
  <c r="B40" i="2" s="1"/>
  <c r="D29" i="2"/>
  <c r="E29" i="2"/>
  <c r="F29" i="2"/>
  <c r="B29" i="2"/>
  <c r="C28" i="2"/>
  <c r="D28" i="2"/>
  <c r="E28" i="2"/>
  <c r="F28" i="2"/>
  <c r="B28" i="2"/>
  <c r="C27" i="2"/>
  <c r="D27" i="2"/>
  <c r="E27" i="2"/>
  <c r="F27" i="2"/>
  <c r="B27" i="2"/>
  <c r="C26" i="2"/>
  <c r="D26" i="2"/>
  <c r="E26" i="2"/>
  <c r="F26" i="2"/>
  <c r="B26" i="2"/>
  <c r="F25" i="2"/>
  <c r="D25" i="2"/>
  <c r="E25" i="2"/>
  <c r="B25" i="2"/>
  <c r="F10" i="2"/>
  <c r="C28" i="1"/>
  <c r="B27" i="1"/>
  <c r="B28" i="1"/>
  <c r="B29" i="1"/>
  <c r="B37" i="3" l="1"/>
  <c r="B39" i="3"/>
  <c r="B41" i="3"/>
  <c r="B36" i="3"/>
  <c r="B38" i="3"/>
  <c r="B40" i="3"/>
  <c r="B42" i="3"/>
  <c r="C23" i="1"/>
  <c r="D23" i="1"/>
  <c r="E23" i="1"/>
  <c r="F23" i="1"/>
  <c r="C22" i="1"/>
  <c r="D22" i="1"/>
  <c r="E22" i="1"/>
  <c r="F22" i="1"/>
  <c r="B23" i="1"/>
  <c r="B22" i="1"/>
  <c r="B21" i="1"/>
  <c r="C21" i="1"/>
  <c r="D21" i="1"/>
  <c r="E21" i="1"/>
  <c r="F21" i="1"/>
  <c r="F11" i="1"/>
</calcChain>
</file>

<file path=xl/sharedStrings.xml><?xml version="1.0" encoding="utf-8"?>
<sst xmlns="http://schemas.openxmlformats.org/spreadsheetml/2006/main" count="223" uniqueCount="73">
  <si>
    <t>Kriteria</t>
  </si>
  <si>
    <t>K1</t>
  </si>
  <si>
    <t>K2</t>
  </si>
  <si>
    <t>K3</t>
  </si>
  <si>
    <t>K4</t>
  </si>
  <si>
    <t>K5</t>
  </si>
  <si>
    <t>Loyalitas</t>
  </si>
  <si>
    <t>Kerjasama</t>
  </si>
  <si>
    <t>Tanggung jawab</t>
  </si>
  <si>
    <t>Inisiatif</t>
  </si>
  <si>
    <t>Penting</t>
  </si>
  <si>
    <t>Cukup Penting</t>
  </si>
  <si>
    <t>Sangat Penting</t>
  </si>
  <si>
    <t>Tidak Penting</t>
  </si>
  <si>
    <t>Karyawan 1</t>
  </si>
  <si>
    <t>Total</t>
  </si>
  <si>
    <t>Karyawan</t>
  </si>
  <si>
    <t>Karyawan 2</t>
  </si>
  <si>
    <t>Karyawan 3</t>
  </si>
  <si>
    <t>←</t>
  </si>
  <si>
    <t>Hasil Normalisasi</t>
  </si>
  <si>
    <t>Dalam metode MAUT total bobot adalah 1</t>
  </si>
  <si>
    <t>Hasil</t>
  </si>
  <si>
    <t>Peringkat</t>
  </si>
  <si>
    <t>HASIL PERANGKINGAN</t>
  </si>
  <si>
    <t>Bobot Kriteria</t>
  </si>
  <si>
    <t>Kejujuran</t>
  </si>
  <si>
    <t>Penilaian dari admin</t>
  </si>
  <si>
    <t>vi</t>
  </si>
  <si>
    <t>Hasil evaluasi kriteria ke – i dari alternatif x</t>
  </si>
  <si>
    <t>Kehadiran</t>
  </si>
  <si>
    <t>Kinerja</t>
  </si>
  <si>
    <t>Kualitas Kerja</t>
  </si>
  <si>
    <t>Sering Masuk</t>
  </si>
  <si>
    <t>Biasa Masuk</t>
  </si>
  <si>
    <t>Jarang Masuk</t>
  </si>
  <si>
    <t>Tidak Pernah Masuk</t>
  </si>
  <si>
    <t>Sangat Inisiatif</t>
  </si>
  <si>
    <t>Cukup Inisiatif</t>
  </si>
  <si>
    <t>Kurang Inisiatif</t>
  </si>
  <si>
    <t>Tidak Inisiatif</t>
  </si>
  <si>
    <t>Kinerja Bagus</t>
  </si>
  <si>
    <t>Sangat Baik</t>
  </si>
  <si>
    <t>Baik</t>
  </si>
  <si>
    <t>Kurang Baik</t>
  </si>
  <si>
    <t>Sangat Berkualitas</t>
  </si>
  <si>
    <t>Kurang Berkualitas</t>
  </si>
  <si>
    <t>C1</t>
  </si>
  <si>
    <t>C2</t>
  </si>
  <si>
    <t>C3</t>
  </si>
  <si>
    <t>C4</t>
  </si>
  <si>
    <t>C5</t>
  </si>
  <si>
    <t>Pieter Leony MP,S.Kom</t>
  </si>
  <si>
    <t>Juricho Sattya Putra,SSn</t>
  </si>
  <si>
    <t>Edward Roosdartono SL,ST</t>
  </si>
  <si>
    <t>Sandi Ariyadi,S,Kom</t>
  </si>
  <si>
    <t>Guntur Roosminto ML Am</t>
  </si>
  <si>
    <t>Irvan SM.Am</t>
  </si>
  <si>
    <t>Yussi Vegillia</t>
  </si>
  <si>
    <t>id_karyawan</t>
  </si>
  <si>
    <t>C1(1)</t>
  </si>
  <si>
    <t>C2(2)</t>
  </si>
  <si>
    <t>C3(3)</t>
  </si>
  <si>
    <t>C4(16)</t>
  </si>
  <si>
    <t>C5(7)</t>
  </si>
  <si>
    <t>Kinerja Kurang Bagus</t>
  </si>
  <si>
    <t>Kedisiplinan</t>
  </si>
  <si>
    <t>Kepatuhan</t>
  </si>
  <si>
    <t>Tanggung Jawab</t>
  </si>
  <si>
    <t>Cukup</t>
  </si>
  <si>
    <t>Buruk</t>
  </si>
  <si>
    <t>Sangat Buruk</t>
  </si>
  <si>
    <t>C4(20)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</si>
</sst>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</font>
    <font>
      <sz val="14"/>
      <color rgb="FF000000"/>
      <name val="Times New Roman"/>
      <family val="1"/>
    </font>
    <font>
      <sz val="10"/>
      <name val="Arial"/>
    </font>
    <font>
      <sz val="10"/>
      <name val="Arial"/>
      <family val="2"/>
    </font>
    <font>
      <sz val="14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8" fillId="0" borderId="0"/>
  </cellStyleXfs>
  <cellXfs count="4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9" fillId="0" borderId="1" xfId="1" applyFont="1" applyFill="1" applyBorder="1" applyAlignment="1">
      <alignment horizontal="center" vertical="center"/>
    </xf>
    <xf numFmtId="0" fontId="9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3">
    <cellStyle name="Normal" xfId="0" builtinId="0"/>
    <cellStyle name="Normal 2" xfId="1" xr:uid="{A6B51D06-EADB-48BD-A95C-6A29F30BE29A}"/>
    <cellStyle name="Normal 3" xfId="2" xr:uid="{9E0CB50A-01EF-4453-96BA-E199BEF414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89649</xdr:colOff>
      <xdr:row>18</xdr:row>
      <xdr:rowOff>224117</xdr:rowOff>
    </xdr:from>
    <xdr:to>
      <xdr:col>9</xdr:col>
      <xdr:colOff>462217</xdr:colOff>
      <xdr:row>22</xdr:row>
      <xdr:rowOff>102552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DCDAF1-6671-46AD-BE2B-F381F54380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726" t="35728" r="58981" b="56592"/>
        <a:stretch/>
      </xdr:blipFill>
      <xdr:spPr>
        <a:xfrm>
          <a:off x="8337178" y="4340411"/>
          <a:ext cx="1597744" cy="804788"/>
        </a:xfrm>
        <a:prstGeom prst="rect">
          <a:avLst/>
        </a:prstGeom>
      </xdr:spPr>
    </xdr:pic>
    <xdr:clientData/>
  </xdr:twoCellAnchor>
  <xdr:twoCellAnchor editAs="oneCell">
    <xdr:from>
      <xdr:col>7</xdr:col>
      <xdr:colOff>29883</xdr:colOff>
      <xdr:row>8</xdr:row>
      <xdr:rowOff>276410</xdr:rowOff>
    </xdr:from>
    <xdr:to>
      <xdr:col>9</xdr:col>
      <xdr:colOff>414657</xdr:colOff>
      <xdr:row>11</xdr:row>
      <xdr:rowOff>169120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B609866-9D5E-48FD-A41C-0398A55E2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5118" y="2039469"/>
          <a:ext cx="1609950" cy="7144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25</xdr:row>
      <xdr:rowOff>0</xdr:rowOff>
    </xdr:from>
    <xdr:to>
      <xdr:col>6</xdr:col>
      <xdr:colOff>435164</xdr:colOff>
      <xdr:row>27</xdr:row>
      <xdr:rowOff>110349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73D744-B43D-45CD-9FDC-9D65F1B34B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33511" t="42406" r="52973" b="50582"/>
        <a:stretch/>
      </xdr:blipFill>
      <xdr:spPr>
        <a:xfrm>
          <a:off x="4467412" y="5737412"/>
          <a:ext cx="3169399" cy="573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B131A-5A3E-4E2F-8862-EFC092421637}">
  <dimension ref="A1:O29"/>
  <sheetViews>
    <sheetView topLeftCell="A7" zoomScale="55" zoomScaleNormal="55" workbookViewId="0">
      <selection activeCell="C27" sqref="C27"/>
    </sheetView>
  </sheetViews>
  <sheetFormatPr defaultRowHeight="14.5" x14ac:dyDescent="0.35"/>
  <cols>
    <col min="1" max="1" width="15.81640625" customWidth="1"/>
    <col min="2" max="2" width="11.26953125" customWidth="1"/>
    <col min="3" max="3" width="14.1796875" customWidth="1"/>
    <col min="4" max="4" width="22.6328125" customWidth="1"/>
    <col min="5" max="5" width="18.54296875" customWidth="1"/>
    <col min="6" max="6" width="20.6328125" customWidth="1"/>
    <col min="7" max="7" width="22.1796875" customWidth="1"/>
  </cols>
  <sheetData>
    <row r="1" spans="1:15" ht="18.5" x14ac:dyDescent="0.45">
      <c r="A1" s="38" t="s">
        <v>0</v>
      </c>
      <c r="B1" s="38"/>
      <c r="C1" s="38"/>
      <c r="D1" s="3">
        <v>4</v>
      </c>
      <c r="E1" s="3">
        <v>3</v>
      </c>
      <c r="F1" s="3">
        <v>2</v>
      </c>
      <c r="G1" s="3">
        <v>1</v>
      </c>
      <c r="H1" s="1"/>
    </row>
    <row r="2" spans="1:15" ht="18.5" x14ac:dyDescent="0.45">
      <c r="A2" s="4" t="s">
        <v>1</v>
      </c>
      <c r="B2" s="31" t="s">
        <v>8</v>
      </c>
      <c r="C2" s="31"/>
      <c r="D2" s="4" t="s">
        <v>12</v>
      </c>
      <c r="E2" s="4" t="s">
        <v>10</v>
      </c>
      <c r="F2" s="4" t="s">
        <v>11</v>
      </c>
      <c r="G2" s="4" t="s">
        <v>13</v>
      </c>
      <c r="H2" s="1"/>
    </row>
    <row r="3" spans="1:15" ht="18.5" x14ac:dyDescent="0.45">
      <c r="A3" s="4" t="s">
        <v>2</v>
      </c>
      <c r="B3" s="31" t="s">
        <v>26</v>
      </c>
      <c r="C3" s="31"/>
      <c r="D3" s="4" t="s">
        <v>12</v>
      </c>
      <c r="E3" s="4" t="s">
        <v>10</v>
      </c>
      <c r="F3" s="4" t="s">
        <v>11</v>
      </c>
      <c r="G3" s="4" t="s">
        <v>13</v>
      </c>
      <c r="H3" s="1"/>
    </row>
    <row r="4" spans="1:15" ht="18.5" x14ac:dyDescent="0.45">
      <c r="A4" s="4" t="s">
        <v>3</v>
      </c>
      <c r="B4" s="31" t="s">
        <v>6</v>
      </c>
      <c r="C4" s="31"/>
      <c r="D4" s="4" t="s">
        <v>12</v>
      </c>
      <c r="E4" s="4" t="s">
        <v>10</v>
      </c>
      <c r="F4" s="4" t="s">
        <v>11</v>
      </c>
      <c r="G4" s="4" t="s">
        <v>13</v>
      </c>
      <c r="H4" s="1"/>
    </row>
    <row r="5" spans="1:15" ht="18.5" x14ac:dyDescent="0.45">
      <c r="A5" s="4" t="s">
        <v>4</v>
      </c>
      <c r="B5" s="31" t="s">
        <v>7</v>
      </c>
      <c r="C5" s="31"/>
      <c r="D5" s="4" t="s">
        <v>12</v>
      </c>
      <c r="E5" s="4" t="s">
        <v>10</v>
      </c>
      <c r="F5" s="4" t="s">
        <v>11</v>
      </c>
      <c r="G5" s="4" t="s">
        <v>13</v>
      </c>
      <c r="H5" s="1"/>
    </row>
    <row r="6" spans="1:15" ht="18.5" x14ac:dyDescent="0.45">
      <c r="A6" s="4" t="s">
        <v>5</v>
      </c>
      <c r="B6" s="31" t="s">
        <v>9</v>
      </c>
      <c r="C6" s="31"/>
      <c r="D6" s="4" t="s">
        <v>12</v>
      </c>
      <c r="E6" s="4" t="s">
        <v>10</v>
      </c>
      <c r="F6" s="4" t="s">
        <v>11</v>
      </c>
      <c r="G6" s="4" t="s">
        <v>13</v>
      </c>
      <c r="H6" s="1"/>
    </row>
    <row r="8" spans="1:15" x14ac:dyDescent="0.35">
      <c r="A8" s="32"/>
      <c r="B8" s="32"/>
      <c r="C8" s="32"/>
      <c r="D8" s="32"/>
      <c r="E8" s="32"/>
      <c r="F8" s="32"/>
      <c r="H8" s="7"/>
      <c r="I8" s="5"/>
      <c r="J8" s="5"/>
      <c r="K8" s="5"/>
      <c r="L8" s="5"/>
      <c r="M8" s="5"/>
      <c r="N8" s="5"/>
      <c r="O8" s="7"/>
    </row>
    <row r="9" spans="1:15" ht="28.5" x14ac:dyDescent="0.35">
      <c r="A9" s="31" t="s">
        <v>25</v>
      </c>
      <c r="B9" s="31"/>
      <c r="C9" s="31"/>
      <c r="D9" s="31"/>
      <c r="E9" s="31"/>
      <c r="F9" s="14" t="s">
        <v>21</v>
      </c>
      <c r="H9" s="7"/>
      <c r="I9" s="5"/>
      <c r="J9" s="5"/>
      <c r="K9" s="5"/>
      <c r="L9" s="5"/>
      <c r="M9" s="5"/>
      <c r="N9" s="5"/>
      <c r="O9" s="7"/>
    </row>
    <row r="10" spans="1:15" ht="18.5" x14ac:dyDescent="0.35">
      <c r="A10" s="4" t="s">
        <v>1</v>
      </c>
      <c r="B10" s="4" t="s">
        <v>2</v>
      </c>
      <c r="C10" s="4" t="s">
        <v>3</v>
      </c>
      <c r="D10" s="4" t="s">
        <v>4</v>
      </c>
      <c r="E10" s="4" t="s">
        <v>5</v>
      </c>
      <c r="F10" s="8" t="s">
        <v>15</v>
      </c>
      <c r="H10" s="7"/>
      <c r="I10" s="5"/>
      <c r="J10" s="5"/>
      <c r="K10" s="5"/>
      <c r="L10" s="5"/>
      <c r="M10" s="5"/>
      <c r="N10" s="5"/>
      <c r="O10" s="7"/>
    </row>
    <row r="11" spans="1:15" ht="18.5" x14ac:dyDescent="0.35">
      <c r="A11" s="4">
        <v>0.1</v>
      </c>
      <c r="B11" s="4">
        <v>0.15</v>
      </c>
      <c r="C11" s="4">
        <v>0.3</v>
      </c>
      <c r="D11" s="4">
        <v>0.2</v>
      </c>
      <c r="E11" s="4">
        <v>0.25</v>
      </c>
      <c r="F11" s="9">
        <f>SUM(A11:E11)</f>
        <v>1</v>
      </c>
      <c r="G11" s="10" t="s">
        <v>19</v>
      </c>
      <c r="H11" s="7"/>
      <c r="I11" s="5"/>
      <c r="J11" s="5"/>
      <c r="K11" s="5"/>
      <c r="L11" s="5"/>
      <c r="M11" s="5"/>
      <c r="N11" s="5"/>
      <c r="O11" s="7"/>
    </row>
    <row r="12" spans="1:15" x14ac:dyDescent="0.35">
      <c r="H12" s="7"/>
      <c r="I12" s="5"/>
      <c r="J12" s="5"/>
      <c r="K12" s="5"/>
      <c r="L12" s="5"/>
      <c r="M12" s="5"/>
      <c r="N12" s="5"/>
      <c r="O12" s="7"/>
    </row>
    <row r="13" spans="1:15" ht="18" x14ac:dyDescent="0.35">
      <c r="A13" s="33" t="s">
        <v>27</v>
      </c>
      <c r="B13" s="34"/>
      <c r="C13" s="34"/>
      <c r="D13" s="34"/>
      <c r="E13" s="34"/>
      <c r="F13" s="35"/>
      <c r="G13" s="12"/>
      <c r="H13" s="37"/>
      <c r="I13" s="37"/>
      <c r="J13" s="37"/>
      <c r="K13" s="37"/>
      <c r="L13" s="37"/>
      <c r="M13" s="37"/>
      <c r="N13" s="6"/>
      <c r="O13" s="7"/>
    </row>
    <row r="14" spans="1:15" ht="18" x14ac:dyDescent="0.35">
      <c r="A14" s="4" t="s">
        <v>16</v>
      </c>
      <c r="B14" s="18" t="s">
        <v>1</v>
      </c>
      <c r="C14" s="4" t="s">
        <v>2</v>
      </c>
      <c r="D14" s="4" t="s">
        <v>3</v>
      </c>
      <c r="E14" s="4" t="s">
        <v>4</v>
      </c>
      <c r="F14" s="4" t="s">
        <v>5</v>
      </c>
      <c r="G14" s="12"/>
      <c r="H14" s="7"/>
      <c r="I14" s="6"/>
      <c r="J14" s="6"/>
      <c r="K14" s="6"/>
      <c r="L14" s="6"/>
      <c r="M14" s="6"/>
      <c r="N14" s="6"/>
      <c r="O14" s="7"/>
    </row>
    <row r="15" spans="1:15" ht="18" x14ac:dyDescent="0.35">
      <c r="A15" s="4" t="s">
        <v>14</v>
      </c>
      <c r="B15" s="18">
        <v>3</v>
      </c>
      <c r="C15" s="4">
        <v>2</v>
      </c>
      <c r="D15" s="4">
        <v>3</v>
      </c>
      <c r="E15" s="4">
        <v>4</v>
      </c>
      <c r="F15" s="4">
        <v>2</v>
      </c>
      <c r="G15" s="12"/>
      <c r="H15" s="7"/>
      <c r="I15" s="5"/>
      <c r="J15" s="5"/>
      <c r="K15" s="5"/>
      <c r="L15" s="5"/>
      <c r="M15" s="5"/>
      <c r="N15" s="5"/>
      <c r="O15" s="7"/>
    </row>
    <row r="16" spans="1:15" ht="18" x14ac:dyDescent="0.35">
      <c r="A16" s="4" t="s">
        <v>17</v>
      </c>
      <c r="B16" s="18">
        <v>2</v>
      </c>
      <c r="C16" s="4">
        <v>1</v>
      </c>
      <c r="D16" s="4">
        <v>2</v>
      </c>
      <c r="E16" s="4">
        <v>3</v>
      </c>
      <c r="F16" s="4">
        <v>3</v>
      </c>
      <c r="G16" s="12"/>
      <c r="H16" s="7"/>
      <c r="I16" s="5"/>
      <c r="J16" s="5"/>
      <c r="K16" s="5"/>
      <c r="L16" s="5"/>
      <c r="M16" s="5"/>
      <c r="N16" s="5"/>
      <c r="O16" s="7"/>
    </row>
    <row r="17" spans="1:15" ht="18" x14ac:dyDescent="0.35">
      <c r="A17" s="4" t="s">
        <v>18</v>
      </c>
      <c r="B17" s="18">
        <v>1</v>
      </c>
      <c r="C17" s="4">
        <v>3</v>
      </c>
      <c r="D17" s="4">
        <v>4</v>
      </c>
      <c r="E17" s="4">
        <v>2</v>
      </c>
      <c r="F17" s="4">
        <v>4</v>
      </c>
      <c r="G17" s="12"/>
      <c r="H17" s="7"/>
      <c r="I17" s="5"/>
      <c r="J17" s="5"/>
      <c r="K17" s="5"/>
      <c r="L17" s="5"/>
      <c r="M17" s="5"/>
      <c r="N17" s="5"/>
      <c r="O17" s="7"/>
    </row>
    <row r="18" spans="1:15" ht="18" x14ac:dyDescent="0.35">
      <c r="A18" s="13"/>
      <c r="B18" s="7"/>
      <c r="C18" s="7"/>
      <c r="D18" s="7"/>
      <c r="E18" s="7"/>
      <c r="F18" s="7"/>
      <c r="G18" s="7"/>
      <c r="H18" s="7"/>
      <c r="I18" s="5"/>
      <c r="J18" s="5"/>
      <c r="K18" s="5"/>
      <c r="L18" s="5"/>
      <c r="M18" s="5"/>
      <c r="N18" s="5"/>
      <c r="O18" s="7"/>
    </row>
    <row r="19" spans="1:15" ht="18" x14ac:dyDescent="0.35">
      <c r="A19" s="36" t="s">
        <v>20</v>
      </c>
      <c r="B19" s="36"/>
      <c r="C19" s="36"/>
      <c r="D19" s="36"/>
      <c r="E19" s="36"/>
      <c r="F19" s="36"/>
      <c r="H19" s="7"/>
      <c r="I19" s="7"/>
      <c r="J19" s="7"/>
      <c r="K19" s="7"/>
      <c r="L19" s="7"/>
      <c r="M19" s="7"/>
      <c r="N19" s="7"/>
      <c r="O19" s="7"/>
    </row>
    <row r="20" spans="1:15" ht="18" x14ac:dyDescent="0.35">
      <c r="A20" s="4" t="s">
        <v>16</v>
      </c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</row>
    <row r="21" spans="1:15" ht="18.5" x14ac:dyDescent="0.35">
      <c r="A21" s="4" t="s">
        <v>14</v>
      </c>
      <c r="B21" s="4">
        <f>(B15-MIN(B15:B17))/(MAX(B15:B17)-MIN(B15:B17))</f>
        <v>1</v>
      </c>
      <c r="C21" s="4">
        <f t="shared" ref="C21:F21" si="0">(C15-MIN(C15:C17))/(MAX(C15:C17)-MIN(C15:C17))</f>
        <v>0.5</v>
      </c>
      <c r="D21" s="4">
        <f t="shared" si="0"/>
        <v>0.5</v>
      </c>
      <c r="E21" s="4">
        <f t="shared" si="0"/>
        <v>1</v>
      </c>
      <c r="F21" s="4">
        <f t="shared" si="0"/>
        <v>0</v>
      </c>
      <c r="G21" s="10" t="s">
        <v>19</v>
      </c>
      <c r="L21" t="s">
        <v>28</v>
      </c>
      <c r="M21" t="s">
        <v>29</v>
      </c>
    </row>
    <row r="22" spans="1:15" ht="18" x14ac:dyDescent="0.35">
      <c r="A22" s="4" t="s">
        <v>17</v>
      </c>
      <c r="B22" s="4">
        <f>(B16-MIN(B15:B17))/(MAX(B15:B17)-MIN(B15:B17))</f>
        <v>0.5</v>
      </c>
      <c r="C22" s="4">
        <f t="shared" ref="C22:F22" si="1">(C16-MIN(C15:C17))/(MAX(C15:C17)-MIN(C15:C17))</f>
        <v>0</v>
      </c>
      <c r="D22" s="4">
        <f t="shared" si="1"/>
        <v>0</v>
      </c>
      <c r="E22" s="4">
        <f t="shared" si="1"/>
        <v>0.5</v>
      </c>
      <c r="F22" s="4">
        <f t="shared" si="1"/>
        <v>0.5</v>
      </c>
    </row>
    <row r="23" spans="1:15" ht="18" x14ac:dyDescent="0.35">
      <c r="A23" s="4" t="s">
        <v>18</v>
      </c>
      <c r="B23" s="4">
        <f>(B17-MIN(B15:B17))/(MAX(B15:B17)-MIN(B15:B17))</f>
        <v>0</v>
      </c>
      <c r="C23" s="4">
        <f t="shared" ref="C23:F23" si="2">(C17-MIN(C15:C17))/(MAX(C15:C17)-MIN(C15:C17))</f>
        <v>1</v>
      </c>
      <c r="D23" s="4">
        <f t="shared" si="2"/>
        <v>1</v>
      </c>
      <c r="E23" s="4">
        <f t="shared" si="2"/>
        <v>0</v>
      </c>
      <c r="F23" s="4">
        <f t="shared" si="2"/>
        <v>1</v>
      </c>
    </row>
    <row r="24" spans="1:15" ht="18" x14ac:dyDescent="0.35">
      <c r="A24" s="11"/>
      <c r="B24" s="7"/>
    </row>
    <row r="25" spans="1:15" ht="18.5" x14ac:dyDescent="0.45">
      <c r="A25" s="29" t="s">
        <v>24</v>
      </c>
      <c r="B25" s="30"/>
      <c r="C25" s="30"/>
    </row>
    <row r="26" spans="1:15" ht="18" x14ac:dyDescent="0.35">
      <c r="A26" s="4" t="s">
        <v>16</v>
      </c>
      <c r="B26" s="4" t="s">
        <v>22</v>
      </c>
      <c r="C26" s="4" t="s">
        <v>23</v>
      </c>
    </row>
    <row r="27" spans="1:15" ht="18.5" x14ac:dyDescent="0.35">
      <c r="A27" s="4" t="s">
        <v>14</v>
      </c>
      <c r="B27" s="4">
        <f>B21*$A$11+C21*$B$11+D21*$C$11+E21*$D$11+F21*$E$11</f>
        <v>0.52499999999999991</v>
      </c>
      <c r="C27" s="2"/>
      <c r="D27" s="10" t="s">
        <v>19</v>
      </c>
    </row>
    <row r="28" spans="1:15" ht="18" x14ac:dyDescent="0.35">
      <c r="A28" s="4" t="s">
        <v>17</v>
      </c>
      <c r="B28" s="4">
        <f t="shared" ref="B28:B29" si="3">B22*$A$11+C22*$B$11+D22*$C$11+E22*$D$11+F22*$E$11</f>
        <v>0.27500000000000002</v>
      </c>
      <c r="C28" s="3" t="str">
        <f t="shared" ref="C28:C29" si="4">IF(B28=MAX(B28:B30),"1",IF(B28=MIN(B28:B30),"3","2"))</f>
        <v>3</v>
      </c>
    </row>
    <row r="29" spans="1:15" ht="18" x14ac:dyDescent="0.35">
      <c r="A29" s="4" t="s">
        <v>18</v>
      </c>
      <c r="B29" s="4">
        <f t="shared" si="3"/>
        <v>0.7</v>
      </c>
      <c r="C29" s="15" t="str">
        <f t="shared" si="4"/>
        <v>1</v>
      </c>
    </row>
  </sheetData>
  <mergeCells count="12">
    <mergeCell ref="H13:M13"/>
    <mergeCell ref="A1:C1"/>
    <mergeCell ref="B2:C2"/>
    <mergeCell ref="B3:C3"/>
    <mergeCell ref="B4:C4"/>
    <mergeCell ref="B5:C5"/>
    <mergeCell ref="A25:C25"/>
    <mergeCell ref="B6:C6"/>
    <mergeCell ref="A8:F8"/>
    <mergeCell ref="A9:E9"/>
    <mergeCell ref="A13:F13"/>
    <mergeCell ref="A19:F19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1A76E-7A2D-4A42-ABE6-CD7DE60FDEB0}">
  <dimension ref="A1:H42"/>
  <sheetViews>
    <sheetView topLeftCell="A16" zoomScale="60" zoomScaleNormal="60" workbookViewId="0">
      <selection activeCell="C36" sqref="C36"/>
    </sheetView>
  </sheetViews>
  <sheetFormatPr defaultRowHeight="14.5" x14ac:dyDescent="0.35"/>
  <cols>
    <col min="1" max="1" width="35.36328125" customWidth="1"/>
    <col min="2" max="2" width="20.36328125" customWidth="1"/>
    <col min="3" max="3" width="11.453125" customWidth="1"/>
    <col min="4" max="4" width="19.6328125" style="12" customWidth="1"/>
    <col min="5" max="5" width="19.90625" customWidth="1"/>
    <col min="6" max="6" width="16.08984375" customWidth="1"/>
    <col min="7" max="7" width="23.1796875" customWidth="1"/>
    <col min="8" max="8" width="22.453125" customWidth="1"/>
    <col min="9" max="9" width="32.08984375" customWidth="1"/>
    <col min="10" max="10" width="15.7265625" customWidth="1"/>
    <col min="11" max="11" width="14.36328125" customWidth="1"/>
    <col min="12" max="12" width="13" customWidth="1"/>
    <col min="13" max="13" width="11.1796875" customWidth="1"/>
    <col min="14" max="14" width="15.26953125" customWidth="1"/>
  </cols>
  <sheetData>
    <row r="1" spans="1:8" ht="18" x14ac:dyDescent="0.35">
      <c r="A1" s="38" t="s">
        <v>0</v>
      </c>
      <c r="B1" s="38"/>
      <c r="C1" s="38"/>
      <c r="D1" s="3">
        <v>5</v>
      </c>
      <c r="E1" s="3">
        <v>4</v>
      </c>
      <c r="F1" s="3">
        <v>3</v>
      </c>
      <c r="G1" s="3">
        <v>2</v>
      </c>
      <c r="H1" s="3">
        <v>1</v>
      </c>
    </row>
    <row r="2" spans="1:8" ht="18" x14ac:dyDescent="0.35">
      <c r="A2" s="16" t="s">
        <v>47</v>
      </c>
      <c r="B2" s="31" t="s">
        <v>30</v>
      </c>
      <c r="C2" s="31"/>
      <c r="D2" s="16"/>
      <c r="E2" s="16" t="s">
        <v>33</v>
      </c>
      <c r="F2" s="16" t="s">
        <v>34</v>
      </c>
      <c r="G2" s="16" t="s">
        <v>35</v>
      </c>
      <c r="H2" s="16" t="s">
        <v>36</v>
      </c>
    </row>
    <row r="3" spans="1:8" ht="18" x14ac:dyDescent="0.35">
      <c r="A3" s="16" t="s">
        <v>48</v>
      </c>
      <c r="B3" s="31" t="s">
        <v>9</v>
      </c>
      <c r="C3" s="31"/>
      <c r="D3" s="16"/>
      <c r="E3" s="16" t="s">
        <v>37</v>
      </c>
      <c r="F3" s="16" t="s">
        <v>38</v>
      </c>
      <c r="G3" s="16" t="s">
        <v>39</v>
      </c>
      <c r="H3" s="16" t="s">
        <v>40</v>
      </c>
    </row>
    <row r="4" spans="1:8" ht="18" x14ac:dyDescent="0.35">
      <c r="A4" s="16" t="s">
        <v>49</v>
      </c>
      <c r="B4" s="31" t="s">
        <v>31</v>
      </c>
      <c r="C4" s="31"/>
      <c r="D4" s="16"/>
      <c r="E4" s="16"/>
      <c r="F4" s="16" t="s">
        <v>41</v>
      </c>
      <c r="G4" s="16" t="s">
        <v>65</v>
      </c>
      <c r="H4" s="16"/>
    </row>
    <row r="5" spans="1:8" ht="18" x14ac:dyDescent="0.35">
      <c r="A5" s="16" t="s">
        <v>51</v>
      </c>
      <c r="B5" s="31" t="s">
        <v>7</v>
      </c>
      <c r="C5" s="31"/>
      <c r="D5" s="16"/>
      <c r="E5" s="16" t="s">
        <v>42</v>
      </c>
      <c r="F5" s="16" t="s">
        <v>43</v>
      </c>
      <c r="G5" s="16" t="s">
        <v>44</v>
      </c>
      <c r="H5" s="16"/>
    </row>
    <row r="6" spans="1:8" ht="18" x14ac:dyDescent="0.35">
      <c r="A6" s="16" t="s">
        <v>50</v>
      </c>
      <c r="B6" s="31" t="s">
        <v>32</v>
      </c>
      <c r="C6" s="31"/>
      <c r="D6" s="16"/>
      <c r="E6" s="16" t="s">
        <v>45</v>
      </c>
      <c r="F6" s="16"/>
      <c r="G6" s="16" t="s">
        <v>46</v>
      </c>
      <c r="H6" s="16"/>
    </row>
    <row r="8" spans="1:8" ht="42.5" x14ac:dyDescent="0.35">
      <c r="A8" s="31" t="s">
        <v>25</v>
      </c>
      <c r="B8" s="31"/>
      <c r="C8" s="31"/>
      <c r="D8" s="31"/>
      <c r="E8" s="31"/>
      <c r="F8" s="14" t="s">
        <v>21</v>
      </c>
    </row>
    <row r="9" spans="1:8" ht="18.5" x14ac:dyDescent="0.35">
      <c r="A9" s="16" t="s">
        <v>60</v>
      </c>
      <c r="B9" s="16" t="s">
        <v>61</v>
      </c>
      <c r="C9" s="16" t="s">
        <v>62</v>
      </c>
      <c r="D9" s="16" t="s">
        <v>63</v>
      </c>
      <c r="E9" s="16" t="s">
        <v>64</v>
      </c>
      <c r="F9" s="8" t="s">
        <v>15</v>
      </c>
    </row>
    <row r="10" spans="1:8" ht="18" x14ac:dyDescent="0.35">
      <c r="A10" s="16">
        <v>0.2</v>
      </c>
      <c r="B10" s="16">
        <v>0.2</v>
      </c>
      <c r="C10" s="16">
        <v>0.2</v>
      </c>
      <c r="D10" s="16">
        <v>0.2</v>
      </c>
      <c r="E10" s="16">
        <v>0.2</v>
      </c>
      <c r="F10" s="9">
        <f>SUM(A10:E10)</f>
        <v>1</v>
      </c>
    </row>
    <row r="12" spans="1:8" ht="18" x14ac:dyDescent="0.35">
      <c r="A12" s="33" t="s">
        <v>27</v>
      </c>
      <c r="B12" s="34"/>
      <c r="C12" s="34"/>
      <c r="D12" s="34"/>
      <c r="E12" s="34"/>
      <c r="F12" s="35"/>
      <c r="G12" s="31" t="s">
        <v>59</v>
      </c>
    </row>
    <row r="13" spans="1:8" ht="18" x14ac:dyDescent="0.35">
      <c r="A13" s="16" t="s">
        <v>16</v>
      </c>
      <c r="B13" s="17" t="s">
        <v>47</v>
      </c>
      <c r="C13" s="16" t="s">
        <v>48</v>
      </c>
      <c r="D13" s="16" t="s">
        <v>49</v>
      </c>
      <c r="E13" s="16" t="s">
        <v>50</v>
      </c>
      <c r="F13" s="16" t="s">
        <v>51</v>
      </c>
      <c r="G13" s="31"/>
    </row>
    <row r="14" spans="1:8" ht="18" x14ac:dyDescent="0.4">
      <c r="A14" s="16" t="s">
        <v>52</v>
      </c>
      <c r="B14" s="17">
        <v>1</v>
      </c>
      <c r="C14" s="16">
        <v>2</v>
      </c>
      <c r="D14" s="16">
        <v>2</v>
      </c>
      <c r="E14" s="16">
        <v>2</v>
      </c>
      <c r="F14" s="16">
        <v>4</v>
      </c>
      <c r="G14" s="21">
        <v>29</v>
      </c>
    </row>
    <row r="15" spans="1:8" ht="18" x14ac:dyDescent="0.35">
      <c r="A15" s="19" t="s">
        <v>53</v>
      </c>
      <c r="B15" s="17">
        <v>4</v>
      </c>
      <c r="C15" s="16">
        <v>2</v>
      </c>
      <c r="D15" s="16">
        <v>3</v>
      </c>
      <c r="E15" s="16">
        <v>4</v>
      </c>
      <c r="F15" s="16">
        <v>2</v>
      </c>
      <c r="G15" s="17">
        <v>30</v>
      </c>
    </row>
    <row r="16" spans="1:8" ht="18" x14ac:dyDescent="0.35">
      <c r="A16" s="20" t="s">
        <v>54</v>
      </c>
      <c r="B16" s="17">
        <v>4</v>
      </c>
      <c r="C16" s="16">
        <v>4</v>
      </c>
      <c r="D16" s="16">
        <v>3</v>
      </c>
      <c r="E16" s="16">
        <v>2</v>
      </c>
      <c r="F16" s="16">
        <v>4</v>
      </c>
      <c r="G16" s="17">
        <v>35</v>
      </c>
    </row>
    <row r="17" spans="1:7" ht="18" x14ac:dyDescent="0.35">
      <c r="A17" s="20" t="s">
        <v>55</v>
      </c>
      <c r="B17" s="17">
        <v>4</v>
      </c>
      <c r="C17" s="16">
        <v>1</v>
      </c>
      <c r="D17" s="16">
        <v>3</v>
      </c>
      <c r="E17" s="16">
        <v>2</v>
      </c>
      <c r="F17" s="16">
        <v>4</v>
      </c>
      <c r="G17" s="17">
        <v>36</v>
      </c>
    </row>
    <row r="18" spans="1:7" ht="18" x14ac:dyDescent="0.35">
      <c r="A18" s="20" t="s">
        <v>56</v>
      </c>
      <c r="B18" s="17">
        <v>2</v>
      </c>
      <c r="C18" s="16">
        <v>2</v>
      </c>
      <c r="D18" s="16">
        <v>3</v>
      </c>
      <c r="E18" s="16">
        <v>2</v>
      </c>
      <c r="F18" s="16">
        <v>4</v>
      </c>
      <c r="G18" s="17">
        <v>37</v>
      </c>
    </row>
    <row r="19" spans="1:7" ht="18" x14ac:dyDescent="0.35">
      <c r="A19" s="20" t="s">
        <v>57</v>
      </c>
      <c r="B19" s="17">
        <v>2</v>
      </c>
      <c r="C19" s="16">
        <v>4</v>
      </c>
      <c r="D19" s="16">
        <v>3</v>
      </c>
      <c r="E19" s="16">
        <v>4</v>
      </c>
      <c r="F19" s="16">
        <v>3</v>
      </c>
      <c r="G19" s="17">
        <v>38</v>
      </c>
    </row>
    <row r="20" spans="1:7" ht="18" x14ac:dyDescent="0.35">
      <c r="A20" s="20" t="s">
        <v>58</v>
      </c>
      <c r="B20" s="17">
        <v>4</v>
      </c>
      <c r="C20" s="16">
        <v>2</v>
      </c>
      <c r="D20" s="16">
        <v>3</v>
      </c>
      <c r="E20" s="16">
        <v>4</v>
      </c>
      <c r="F20" s="16">
        <v>3</v>
      </c>
      <c r="G20" s="17">
        <v>50</v>
      </c>
    </row>
    <row r="23" spans="1:7" ht="18" x14ac:dyDescent="0.35">
      <c r="A23" s="39" t="s">
        <v>20</v>
      </c>
      <c r="B23" s="39"/>
      <c r="C23" s="39"/>
      <c r="D23" s="39"/>
      <c r="E23" s="39"/>
      <c r="F23" s="39"/>
      <c r="G23" s="39" t="s">
        <v>59</v>
      </c>
    </row>
    <row r="24" spans="1:7" ht="18" x14ac:dyDescent="0.35">
      <c r="A24" s="18" t="s">
        <v>16</v>
      </c>
      <c r="B24" s="17" t="s">
        <v>47</v>
      </c>
      <c r="C24" s="17" t="s">
        <v>48</v>
      </c>
      <c r="D24" s="18" t="s">
        <v>49</v>
      </c>
      <c r="E24" s="17" t="s">
        <v>50</v>
      </c>
      <c r="F24" s="17" t="s">
        <v>51</v>
      </c>
      <c r="G24" s="39"/>
    </row>
    <row r="25" spans="1:7" ht="18" x14ac:dyDescent="0.4">
      <c r="A25" s="18" t="s">
        <v>52</v>
      </c>
      <c r="B25" s="17">
        <f>(B14-MIN(B14:B20))/(MAX(B14:B20)-MIN(B14:B20))</f>
        <v>0</v>
      </c>
      <c r="C25" s="17">
        <f t="shared" ref="C25:E25" si="0">(C14-MIN(C14:C20))/(MAX(C14:C20)-MIN(C14:C20))</f>
        <v>0.33333333333333331</v>
      </c>
      <c r="D25" s="17">
        <f t="shared" si="0"/>
        <v>0</v>
      </c>
      <c r="E25" s="17">
        <f t="shared" si="0"/>
        <v>0</v>
      </c>
      <c r="F25" s="17">
        <f>(F14-MIN(F14:F20))/(MAX(F14:F20)-MIN(F14:F20))</f>
        <v>1</v>
      </c>
      <c r="G25" s="23">
        <v>29</v>
      </c>
    </row>
    <row r="26" spans="1:7" ht="18" x14ac:dyDescent="0.35">
      <c r="A26" s="24" t="s">
        <v>53</v>
      </c>
      <c r="B26" s="17">
        <f>(B15-MIN(B14:B20))/(MAX(B14:B20)-MIN(B14:B20))</f>
        <v>1</v>
      </c>
      <c r="C26" s="17">
        <f t="shared" ref="C26:F26" si="1">(C15-MIN(C14:C20))/(MAX(C14:C20)-MIN(C14:C20))</f>
        <v>0.33333333333333331</v>
      </c>
      <c r="D26" s="17">
        <f t="shared" si="1"/>
        <v>1</v>
      </c>
      <c r="E26" s="17">
        <f t="shared" si="1"/>
        <v>1</v>
      </c>
      <c r="F26" s="17">
        <f t="shared" si="1"/>
        <v>0</v>
      </c>
      <c r="G26" s="18">
        <v>30</v>
      </c>
    </row>
    <row r="27" spans="1:7" ht="18" x14ac:dyDescent="0.35">
      <c r="A27" s="25" t="s">
        <v>54</v>
      </c>
      <c r="B27" s="17">
        <f>(B16-MIN(B14:B20))/(MAX(B14:B20)-MIN(B14:B20))</f>
        <v>1</v>
      </c>
      <c r="C27" s="17">
        <f t="shared" ref="C27:F27" si="2">(C16-MIN(C14:C20))/(MAX(C14:C20)-MIN(C14:C20))</f>
        <v>1</v>
      </c>
      <c r="D27" s="17">
        <f t="shared" si="2"/>
        <v>1</v>
      </c>
      <c r="E27" s="17">
        <f t="shared" si="2"/>
        <v>0</v>
      </c>
      <c r="F27" s="17">
        <f t="shared" si="2"/>
        <v>1</v>
      </c>
      <c r="G27" s="18">
        <v>35</v>
      </c>
    </row>
    <row r="28" spans="1:7" ht="18" x14ac:dyDescent="0.35">
      <c r="A28" s="25" t="s">
        <v>55</v>
      </c>
      <c r="B28" s="17">
        <f>(B17-MIN(B14:B20))/(MAX(B14:B20)-MIN(B14:B20))</f>
        <v>1</v>
      </c>
      <c r="C28" s="17">
        <f t="shared" ref="C28:F28" si="3">(C17-MIN(C14:C20))/(MAX(C14:C20)-MIN(C14:C20))</f>
        <v>0</v>
      </c>
      <c r="D28" s="17">
        <f t="shared" si="3"/>
        <v>1</v>
      </c>
      <c r="E28" s="17">
        <f t="shared" si="3"/>
        <v>0</v>
      </c>
      <c r="F28" s="17">
        <f t="shared" si="3"/>
        <v>1</v>
      </c>
      <c r="G28" s="18">
        <v>36</v>
      </c>
    </row>
    <row r="29" spans="1:7" ht="18" x14ac:dyDescent="0.35">
      <c r="A29" s="25" t="s">
        <v>56</v>
      </c>
      <c r="B29" s="17">
        <f>(B18-MIN(B14:B20))/(MAX(B14:B20)-MIN(B14:B20))</f>
        <v>0.33333333333333331</v>
      </c>
      <c r="C29" s="17">
        <f t="shared" ref="C29:F29" si="4">(C18-MIN(C14:C20))/(MAX(C14:C20)-MIN(C14:C20))</f>
        <v>0.33333333333333331</v>
      </c>
      <c r="D29" s="17">
        <f t="shared" si="4"/>
        <v>1</v>
      </c>
      <c r="E29" s="17">
        <f t="shared" si="4"/>
        <v>0</v>
      </c>
      <c r="F29" s="17">
        <f t="shared" si="4"/>
        <v>1</v>
      </c>
      <c r="G29" s="18">
        <v>37</v>
      </c>
    </row>
    <row r="30" spans="1:7" ht="18" x14ac:dyDescent="0.35">
      <c r="A30" s="25" t="s">
        <v>57</v>
      </c>
      <c r="B30" s="17">
        <f>(B19-MIN(B14:B20))/(MAX(B14:B20)-MIN(B14:B20))</f>
        <v>0.33333333333333331</v>
      </c>
      <c r="C30" s="17">
        <f t="shared" ref="C30:F30" si="5">(C19-MIN(C14:C20))/(MAX(C14:C20)-MIN(C14:C20))</f>
        <v>1</v>
      </c>
      <c r="D30" s="17">
        <f t="shared" si="5"/>
        <v>1</v>
      </c>
      <c r="E30" s="17">
        <f t="shared" si="5"/>
        <v>1</v>
      </c>
      <c r="F30" s="17">
        <f t="shared" si="5"/>
        <v>0.5</v>
      </c>
      <c r="G30" s="18">
        <v>38</v>
      </c>
    </row>
    <row r="31" spans="1:7" ht="18" x14ac:dyDescent="0.35">
      <c r="A31" s="25" t="s">
        <v>58</v>
      </c>
      <c r="B31" s="17">
        <f>(B20-MIN(B14:B20))/(MAX(B14:B20)-MIN(B14:B20))</f>
        <v>1</v>
      </c>
      <c r="C31" s="17">
        <f t="shared" ref="C31:F31" si="6">(C20-MIN(C14:C20))/(MAX(C14:C20)-MIN(C14:C20))</f>
        <v>0.33333333333333331</v>
      </c>
      <c r="D31" s="17">
        <f t="shared" si="6"/>
        <v>1</v>
      </c>
      <c r="E31" s="17">
        <f t="shared" si="6"/>
        <v>1</v>
      </c>
      <c r="F31" s="17">
        <f t="shared" si="6"/>
        <v>0.5</v>
      </c>
      <c r="G31" s="18">
        <v>50</v>
      </c>
    </row>
    <row r="34" spans="1:4" ht="18.5" x14ac:dyDescent="0.45">
      <c r="A34" s="29" t="s">
        <v>24</v>
      </c>
      <c r="B34" s="30"/>
      <c r="C34" s="30"/>
      <c r="D34" s="39" t="s">
        <v>59</v>
      </c>
    </row>
    <row r="35" spans="1:4" ht="18" x14ac:dyDescent="0.35">
      <c r="A35" s="16" t="s">
        <v>16</v>
      </c>
      <c r="B35" s="16" t="s">
        <v>22</v>
      </c>
      <c r="C35" s="16" t="s">
        <v>23</v>
      </c>
      <c r="D35" s="39"/>
    </row>
    <row r="36" spans="1:4" ht="18" x14ac:dyDescent="0.4">
      <c r="A36" s="16" t="s">
        <v>52</v>
      </c>
      <c r="B36" s="16">
        <f>B25*$A$10+C25*$B$10+D25*$C$10+E25*$D$10+F25*$E$10</f>
        <v>0.26666666666666666</v>
      </c>
      <c r="C36" s="18"/>
      <c r="D36" s="23">
        <v>29</v>
      </c>
    </row>
    <row r="37" spans="1:4" ht="18" x14ac:dyDescent="0.35">
      <c r="A37" s="19" t="s">
        <v>53</v>
      </c>
      <c r="B37" s="16">
        <f t="shared" ref="B37:B41" si="7">B26*$A$10+C26*$B$10+D26*$C$10+E26*$D$10+F26*$E$10</f>
        <v>0.66666666666666674</v>
      </c>
      <c r="C37" s="18"/>
      <c r="D37" s="17">
        <v>30</v>
      </c>
    </row>
    <row r="38" spans="1:4" ht="18" x14ac:dyDescent="0.35">
      <c r="A38" s="20" t="s">
        <v>54</v>
      </c>
      <c r="B38" s="16">
        <f t="shared" si="7"/>
        <v>0.8</v>
      </c>
      <c r="C38" s="18"/>
      <c r="D38" s="17">
        <v>35</v>
      </c>
    </row>
    <row r="39" spans="1:4" ht="18" x14ac:dyDescent="0.35">
      <c r="A39" s="20" t="s">
        <v>55</v>
      </c>
      <c r="B39" s="16">
        <f t="shared" si="7"/>
        <v>0.60000000000000009</v>
      </c>
      <c r="C39" s="18"/>
      <c r="D39" s="22">
        <v>36</v>
      </c>
    </row>
    <row r="40" spans="1:4" ht="18" x14ac:dyDescent="0.35">
      <c r="A40" s="20" t="s">
        <v>56</v>
      </c>
      <c r="B40" s="16">
        <f t="shared" si="7"/>
        <v>0.53333333333333344</v>
      </c>
      <c r="C40" s="18"/>
      <c r="D40" s="17">
        <v>37</v>
      </c>
    </row>
    <row r="41" spans="1:4" ht="18" x14ac:dyDescent="0.35">
      <c r="A41" s="20" t="s">
        <v>57</v>
      </c>
      <c r="B41" s="16">
        <f t="shared" si="7"/>
        <v>0.76666666666666672</v>
      </c>
      <c r="C41" s="18"/>
      <c r="D41" s="17">
        <v>38</v>
      </c>
    </row>
    <row r="42" spans="1:4" ht="18" x14ac:dyDescent="0.35">
      <c r="A42" s="20" t="s">
        <v>58</v>
      </c>
      <c r="B42" s="16">
        <f>B31*$A$10+C31*$B$10+D31*$C$10+E31*$D$10+F31*$E$10</f>
        <v>0.76666666666666672</v>
      </c>
      <c r="C42" s="18"/>
      <c r="D42" s="22">
        <v>50</v>
      </c>
    </row>
  </sheetData>
  <mergeCells count="13">
    <mergeCell ref="G12:G13"/>
    <mergeCell ref="A23:F23"/>
    <mergeCell ref="G23:G24"/>
    <mergeCell ref="B6:C6"/>
    <mergeCell ref="D34:D35"/>
    <mergeCell ref="A34:C34"/>
    <mergeCell ref="A8:E8"/>
    <mergeCell ref="A12:F12"/>
    <mergeCell ref="A1:C1"/>
    <mergeCell ref="B2:C2"/>
    <mergeCell ref="B3:C3"/>
    <mergeCell ref="B4:C4"/>
    <mergeCell ref="B5:C5"/>
  </mergeCells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87DC2-7D05-4082-B92E-A56EECEC70FB}">
  <dimension ref="A1:H42"/>
  <sheetViews>
    <sheetView tabSelected="1" topLeftCell="A13" zoomScale="55" zoomScaleNormal="55" workbookViewId="0">
      <selection activeCell="H31" sqref="H31"/>
    </sheetView>
  </sheetViews>
  <sheetFormatPr defaultRowHeight="14.5" x14ac:dyDescent="0.35"/>
  <cols>
    <col min="1" max="1" width="30.08984375" customWidth="1"/>
    <col min="2" max="2" width="18.26953125" customWidth="1"/>
    <col min="3" max="3" width="13.36328125" customWidth="1"/>
    <col min="4" max="4" width="16.453125" customWidth="1"/>
    <col min="5" max="5" width="22.26953125" customWidth="1"/>
    <col min="6" max="6" width="19.453125" customWidth="1"/>
    <col min="7" max="7" width="25.26953125" customWidth="1"/>
    <col min="8" max="8" width="24.26953125" customWidth="1"/>
  </cols>
  <sheetData>
    <row r="1" spans="1:8" ht="18" x14ac:dyDescent="0.35">
      <c r="A1" s="38" t="s">
        <v>0</v>
      </c>
      <c r="B1" s="38"/>
      <c r="C1" s="38"/>
      <c r="D1" s="3">
        <v>5</v>
      </c>
      <c r="E1" s="3">
        <v>4</v>
      </c>
      <c r="F1" s="3">
        <v>3</v>
      </c>
      <c r="G1" s="3">
        <v>2</v>
      </c>
      <c r="H1" s="3">
        <v>1</v>
      </c>
    </row>
    <row r="2" spans="1:8" ht="18" x14ac:dyDescent="0.35">
      <c r="A2" s="26" t="s">
        <v>47</v>
      </c>
      <c r="B2" s="31" t="s">
        <v>66</v>
      </c>
      <c r="C2" s="31"/>
      <c r="D2" s="26" t="s">
        <v>42</v>
      </c>
      <c r="E2" s="26" t="s">
        <v>43</v>
      </c>
      <c r="F2" s="26" t="s">
        <v>69</v>
      </c>
      <c r="G2" s="26" t="s">
        <v>70</v>
      </c>
      <c r="H2" s="26" t="s">
        <v>71</v>
      </c>
    </row>
    <row r="3" spans="1:8" ht="18" x14ac:dyDescent="0.35">
      <c r="A3" s="26" t="s">
        <v>48</v>
      </c>
      <c r="B3" s="31" t="s">
        <v>9</v>
      </c>
      <c r="C3" s="31"/>
      <c r="D3" s="26" t="s">
        <v>42</v>
      </c>
      <c r="E3" s="26" t="s">
        <v>43</v>
      </c>
      <c r="F3" s="26" t="s">
        <v>69</v>
      </c>
      <c r="G3" s="26" t="s">
        <v>70</v>
      </c>
      <c r="H3" s="26" t="s">
        <v>71</v>
      </c>
    </row>
    <row r="4" spans="1:8" ht="18" x14ac:dyDescent="0.35">
      <c r="A4" s="26" t="s">
        <v>49</v>
      </c>
      <c r="B4" s="31" t="s">
        <v>67</v>
      </c>
      <c r="C4" s="31"/>
      <c r="D4" s="26" t="s">
        <v>42</v>
      </c>
      <c r="E4" s="26" t="s">
        <v>43</v>
      </c>
      <c r="F4" s="26" t="s">
        <v>69</v>
      </c>
      <c r="G4" s="26" t="s">
        <v>70</v>
      </c>
      <c r="H4" s="26" t="s">
        <v>71</v>
      </c>
    </row>
    <row r="5" spans="1:8" ht="18" x14ac:dyDescent="0.35">
      <c r="A5" s="26" t="s">
        <v>50</v>
      </c>
      <c r="B5" s="31" t="s">
        <v>68</v>
      </c>
      <c r="C5" s="31"/>
      <c r="D5" s="26" t="s">
        <v>42</v>
      </c>
      <c r="E5" s="26" t="s">
        <v>43</v>
      </c>
      <c r="F5" s="26" t="s">
        <v>69</v>
      </c>
      <c r="G5" s="26" t="s">
        <v>70</v>
      </c>
      <c r="H5" s="26" t="s">
        <v>71</v>
      </c>
    </row>
    <row r="6" spans="1:8" ht="18" x14ac:dyDescent="0.35">
      <c r="A6" s="11"/>
      <c r="B6" s="48"/>
      <c r="C6" s="48"/>
      <c r="D6" s="11"/>
      <c r="E6" s="11"/>
      <c r="F6" s="11"/>
      <c r="G6" s="11"/>
      <c r="H6" s="11"/>
    </row>
    <row r="7" spans="1:8" x14ac:dyDescent="0.35">
      <c r="A7" s="7"/>
      <c r="B7" s="7"/>
      <c r="C7" s="7"/>
      <c r="D7" s="7"/>
      <c r="E7" s="7"/>
      <c r="F7" s="7"/>
      <c r="G7" s="7"/>
      <c r="H7" s="7"/>
    </row>
    <row r="8" spans="1:8" ht="35.5" customHeight="1" x14ac:dyDescent="0.35">
      <c r="A8" s="40" t="s">
        <v>25</v>
      </c>
      <c r="B8" s="41"/>
      <c r="C8" s="41"/>
      <c r="D8" s="42"/>
      <c r="E8" s="28" t="s">
        <v>21</v>
      </c>
      <c r="G8" s="12"/>
      <c r="H8" s="12"/>
    </row>
    <row r="9" spans="1:8" ht="18.5" x14ac:dyDescent="0.35">
      <c r="A9" s="26" t="s">
        <v>60</v>
      </c>
      <c r="B9" s="26" t="s">
        <v>61</v>
      </c>
      <c r="C9" s="26" t="s">
        <v>62</v>
      </c>
      <c r="D9" s="26" t="s">
        <v>72</v>
      </c>
      <c r="E9" s="8" t="s">
        <v>15</v>
      </c>
      <c r="F9" s="12"/>
      <c r="G9" s="12"/>
    </row>
    <row r="10" spans="1:8" ht="18" x14ac:dyDescent="0.35">
      <c r="A10" s="26">
        <v>0.25</v>
      </c>
      <c r="B10" s="26">
        <v>0.25</v>
      </c>
      <c r="C10" s="26">
        <v>0.25</v>
      </c>
      <c r="D10" s="26">
        <v>0.25</v>
      </c>
      <c r="E10" s="9">
        <f>SUM(A10:D10)</f>
        <v>1</v>
      </c>
      <c r="F10" s="12"/>
      <c r="G10" s="12"/>
    </row>
    <row r="11" spans="1:8" x14ac:dyDescent="0.35">
      <c r="A11" s="12"/>
      <c r="B11" s="12"/>
      <c r="C11" s="12"/>
      <c r="D11" s="12"/>
      <c r="E11" s="12"/>
      <c r="F11" s="12"/>
      <c r="G11" s="12"/>
      <c r="H11" s="12"/>
    </row>
    <row r="12" spans="1:8" ht="18" x14ac:dyDescent="0.35">
      <c r="A12" s="43" t="s">
        <v>27</v>
      </c>
      <c r="B12" s="44"/>
      <c r="C12" s="44"/>
      <c r="D12" s="44"/>
      <c r="E12" s="44"/>
      <c r="F12" s="39" t="s">
        <v>59</v>
      </c>
      <c r="G12" s="12"/>
    </row>
    <row r="13" spans="1:8" ht="18" x14ac:dyDescent="0.35">
      <c r="A13" s="27" t="s">
        <v>16</v>
      </c>
      <c r="B13" s="27" t="s">
        <v>47</v>
      </c>
      <c r="C13" s="27" t="s">
        <v>48</v>
      </c>
      <c r="D13" s="27" t="s">
        <v>49</v>
      </c>
      <c r="E13" s="27" t="s">
        <v>50</v>
      </c>
      <c r="F13" s="39"/>
      <c r="G13" s="12"/>
    </row>
    <row r="14" spans="1:8" ht="18" x14ac:dyDescent="0.4">
      <c r="A14" s="27" t="s">
        <v>52</v>
      </c>
      <c r="B14" s="27">
        <v>5</v>
      </c>
      <c r="C14" s="27">
        <v>4</v>
      </c>
      <c r="D14" s="27">
        <v>3</v>
      </c>
      <c r="E14" s="27">
        <v>2</v>
      </c>
      <c r="F14" s="23">
        <v>29</v>
      </c>
      <c r="G14" s="12"/>
    </row>
    <row r="15" spans="1:8" ht="18" x14ac:dyDescent="0.35">
      <c r="A15" s="24" t="s">
        <v>53</v>
      </c>
      <c r="B15" s="27">
        <v>1</v>
      </c>
      <c r="C15" s="27">
        <v>3</v>
      </c>
      <c r="D15" s="27">
        <v>4</v>
      </c>
      <c r="E15" s="27">
        <v>5</v>
      </c>
      <c r="F15" s="27">
        <v>30</v>
      </c>
      <c r="G15" s="12"/>
    </row>
    <row r="16" spans="1:8" ht="18" x14ac:dyDescent="0.35">
      <c r="A16" s="25" t="s">
        <v>54</v>
      </c>
      <c r="B16" s="27">
        <v>1</v>
      </c>
      <c r="C16" s="27">
        <v>5</v>
      </c>
      <c r="D16" s="27">
        <v>2</v>
      </c>
      <c r="E16" s="27">
        <v>2</v>
      </c>
      <c r="F16" s="27">
        <v>35</v>
      </c>
      <c r="G16" s="12"/>
    </row>
    <row r="17" spans="1:8" ht="18" x14ac:dyDescent="0.35">
      <c r="A17" s="25" t="s">
        <v>55</v>
      </c>
      <c r="B17" s="27">
        <v>1</v>
      </c>
      <c r="C17" s="27">
        <v>5</v>
      </c>
      <c r="D17" s="27">
        <v>5</v>
      </c>
      <c r="E17" s="27">
        <v>4</v>
      </c>
      <c r="F17" s="27">
        <v>36</v>
      </c>
      <c r="G17" s="12"/>
    </row>
    <row r="18" spans="1:8" ht="18" x14ac:dyDescent="0.35">
      <c r="A18" s="25" t="s">
        <v>56</v>
      </c>
      <c r="B18" s="27">
        <v>4</v>
      </c>
      <c r="C18" s="27">
        <v>4</v>
      </c>
      <c r="D18" s="27">
        <v>5</v>
      </c>
      <c r="E18" s="27">
        <v>4</v>
      </c>
      <c r="F18" s="27">
        <v>37</v>
      </c>
      <c r="G18" s="12"/>
    </row>
    <row r="19" spans="1:8" ht="18" x14ac:dyDescent="0.35">
      <c r="A19" s="25" t="s">
        <v>57</v>
      </c>
      <c r="B19" s="27">
        <v>5</v>
      </c>
      <c r="C19" s="27">
        <v>5</v>
      </c>
      <c r="D19" s="27">
        <v>1</v>
      </c>
      <c r="E19" s="27">
        <v>1</v>
      </c>
      <c r="F19" s="27">
        <v>38</v>
      </c>
      <c r="G19" s="12"/>
    </row>
    <row r="20" spans="1:8" ht="18" x14ac:dyDescent="0.35">
      <c r="A20" s="25" t="s">
        <v>58</v>
      </c>
      <c r="B20" s="27">
        <v>5</v>
      </c>
      <c r="C20" s="27">
        <v>4</v>
      </c>
      <c r="D20" s="27">
        <v>5</v>
      </c>
      <c r="E20" s="27">
        <v>1</v>
      </c>
      <c r="F20" s="27">
        <v>50</v>
      </c>
      <c r="G20" s="12"/>
    </row>
    <row r="21" spans="1:8" x14ac:dyDescent="0.35">
      <c r="A21" s="12"/>
      <c r="B21" s="12"/>
      <c r="C21" s="12"/>
      <c r="D21" s="12"/>
      <c r="E21" s="12"/>
      <c r="F21" s="12"/>
      <c r="G21" s="12"/>
      <c r="H21" s="12"/>
    </row>
    <row r="22" spans="1:8" x14ac:dyDescent="0.35">
      <c r="A22" s="12"/>
      <c r="B22" s="12"/>
      <c r="C22" s="12"/>
      <c r="D22" s="12"/>
      <c r="E22" s="12"/>
      <c r="F22" s="12"/>
      <c r="G22" s="12"/>
      <c r="H22" s="12"/>
    </row>
    <row r="23" spans="1:8" ht="18" x14ac:dyDescent="0.35">
      <c r="A23" s="45" t="s">
        <v>20</v>
      </c>
      <c r="B23" s="46"/>
      <c r="C23" s="46"/>
      <c r="D23" s="46"/>
      <c r="E23" s="47"/>
      <c r="F23" s="39" t="s">
        <v>59</v>
      </c>
      <c r="G23" s="12"/>
    </row>
    <row r="24" spans="1:8" ht="18" x14ac:dyDescent="0.35">
      <c r="A24" s="27" t="s">
        <v>16</v>
      </c>
      <c r="B24" s="27" t="s">
        <v>47</v>
      </c>
      <c r="C24" s="27" t="s">
        <v>48</v>
      </c>
      <c r="D24" s="27" t="s">
        <v>49</v>
      </c>
      <c r="E24" s="27" t="s">
        <v>50</v>
      </c>
      <c r="F24" s="39"/>
      <c r="G24" s="12"/>
    </row>
    <row r="25" spans="1:8" ht="18" x14ac:dyDescent="0.4">
      <c r="A25" s="27" t="s">
        <v>52</v>
      </c>
      <c r="B25" s="27">
        <f>(B14-MIN(B14:B20))/(MAX(B14:B20)-MIN(B14:B20))</f>
        <v>1</v>
      </c>
      <c r="C25" s="27">
        <f t="shared" ref="C25:E25" si="0">(C14-MIN(C14:C20))/(MAX(C14:C20)-MIN(C14:C20))</f>
        <v>0.5</v>
      </c>
      <c r="D25" s="27">
        <f t="shared" si="0"/>
        <v>0.5</v>
      </c>
      <c r="E25" s="27">
        <f t="shared" si="0"/>
        <v>0.25</v>
      </c>
      <c r="F25" s="23">
        <v>29</v>
      </c>
      <c r="G25" s="12"/>
    </row>
    <row r="26" spans="1:8" ht="18" x14ac:dyDescent="0.35">
      <c r="A26" s="24" t="s">
        <v>53</v>
      </c>
      <c r="B26" s="27">
        <f>(B15-MIN(B14:B20))/(MAX(B14:B20)-MIN(B14:B20))</f>
        <v>0</v>
      </c>
      <c r="C26" s="27">
        <f t="shared" ref="C26:E26" si="1">(C15-MIN(C14:C20))/(MAX(C14:C20)-MIN(C14:C20))</f>
        <v>0</v>
      </c>
      <c r="D26" s="27">
        <f t="shared" si="1"/>
        <v>0.75</v>
      </c>
      <c r="E26" s="27">
        <f t="shared" si="1"/>
        <v>1</v>
      </c>
      <c r="F26" s="27">
        <v>30</v>
      </c>
      <c r="G26" s="12"/>
    </row>
    <row r="27" spans="1:8" ht="18" x14ac:dyDescent="0.35">
      <c r="A27" s="25" t="s">
        <v>54</v>
      </c>
      <c r="B27" s="27">
        <f>(B16-MIN(B14:B20))/(MAX(B14:B20)-MIN(B14:B20))</f>
        <v>0</v>
      </c>
      <c r="C27" s="27">
        <f t="shared" ref="C27:E27" si="2">(C16-MIN(C14:C20))/(MAX(C14:C20)-MIN(C14:C20))</f>
        <v>1</v>
      </c>
      <c r="D27" s="27">
        <f t="shared" si="2"/>
        <v>0.25</v>
      </c>
      <c r="E27" s="27">
        <f t="shared" si="2"/>
        <v>0.25</v>
      </c>
      <c r="F27" s="27">
        <v>35</v>
      </c>
      <c r="G27" s="12"/>
    </row>
    <row r="28" spans="1:8" ht="18" x14ac:dyDescent="0.35">
      <c r="A28" s="25" t="s">
        <v>55</v>
      </c>
      <c r="B28" s="27">
        <f>(B17-MIN(B14:B20))/(MAX(B14:B20)-MIN(B14:B20))</f>
        <v>0</v>
      </c>
      <c r="C28" s="27">
        <f t="shared" ref="C28:E28" si="3">(C17-MIN(C14:C20))/(MAX(C14:C20)-MIN(C14:C20))</f>
        <v>1</v>
      </c>
      <c r="D28" s="27">
        <f t="shared" si="3"/>
        <v>1</v>
      </c>
      <c r="E28" s="27">
        <f t="shared" si="3"/>
        <v>0.75</v>
      </c>
      <c r="F28" s="27">
        <v>36</v>
      </c>
      <c r="G28" s="12"/>
    </row>
    <row r="29" spans="1:8" ht="18" x14ac:dyDescent="0.35">
      <c r="A29" s="25" t="s">
        <v>56</v>
      </c>
      <c r="B29" s="27">
        <f>(B18-MIN(B14:B20))/(MAX(B14:B20)-MIN(B14:B20))</f>
        <v>0.75</v>
      </c>
      <c r="C29" s="27">
        <f t="shared" ref="C29:E29" si="4">(C18-MIN(C14:C20))/(MAX(C14:C20)-MIN(C14:C20))</f>
        <v>0.5</v>
      </c>
      <c r="D29" s="27">
        <f t="shared" si="4"/>
        <v>1</v>
      </c>
      <c r="E29" s="27">
        <f t="shared" si="4"/>
        <v>0.75</v>
      </c>
      <c r="F29" s="27">
        <v>37</v>
      </c>
      <c r="G29" s="12"/>
    </row>
    <row r="30" spans="1:8" ht="18" x14ac:dyDescent="0.35">
      <c r="A30" s="25" t="s">
        <v>57</v>
      </c>
      <c r="B30" s="27">
        <f>(B19-MIN(B14:B20))/(MAX(B14:B20)-MIN(B14:B20))</f>
        <v>1</v>
      </c>
      <c r="C30" s="27">
        <f t="shared" ref="C30:E30" si="5">(C19-MIN(C14:C20))/(MAX(C14:C20)-MIN(C14:C20))</f>
        <v>1</v>
      </c>
      <c r="D30" s="27">
        <f t="shared" si="5"/>
        <v>0</v>
      </c>
      <c r="E30" s="27">
        <f t="shared" si="5"/>
        <v>0</v>
      </c>
      <c r="F30" s="27">
        <v>38</v>
      </c>
      <c r="G30" s="12"/>
    </row>
    <row r="31" spans="1:8" ht="18" x14ac:dyDescent="0.35">
      <c r="A31" s="25" t="s">
        <v>58</v>
      </c>
      <c r="B31" s="27">
        <f>(B20-MIN(B14:B20))/(MAX(B14:B20)-MIN(B14:B20))</f>
        <v>1</v>
      </c>
      <c r="C31" s="27">
        <f t="shared" ref="C31:E31" si="6">(C20-MIN(C14:C20))/(MAX(C14:C20)-MIN(C14:C20))</f>
        <v>0.5</v>
      </c>
      <c r="D31" s="27">
        <f t="shared" si="6"/>
        <v>1</v>
      </c>
      <c r="E31" s="27">
        <f t="shared" si="6"/>
        <v>0</v>
      </c>
      <c r="F31" s="27">
        <v>50</v>
      </c>
      <c r="G31" s="12"/>
    </row>
    <row r="32" spans="1:8" x14ac:dyDescent="0.35">
      <c r="A32" s="12"/>
      <c r="B32" s="12"/>
      <c r="C32" s="12"/>
      <c r="D32" s="12"/>
      <c r="E32" s="12"/>
      <c r="F32" s="12"/>
      <c r="G32" s="12"/>
      <c r="H32" s="12"/>
    </row>
    <row r="33" spans="1:8" x14ac:dyDescent="0.35">
      <c r="A33" s="12"/>
      <c r="B33" s="12"/>
      <c r="C33" s="12"/>
      <c r="D33" s="12"/>
      <c r="E33" s="12"/>
      <c r="F33" s="12"/>
      <c r="G33" s="12"/>
      <c r="H33" s="12"/>
    </row>
    <row r="34" spans="1:8" ht="18.5" x14ac:dyDescent="0.45">
      <c r="A34" s="29" t="s">
        <v>24</v>
      </c>
      <c r="B34" s="30"/>
      <c r="C34" s="30"/>
      <c r="D34" s="39" t="s">
        <v>59</v>
      </c>
      <c r="E34" s="12"/>
      <c r="F34" s="12"/>
      <c r="G34" s="12"/>
      <c r="H34" s="12"/>
    </row>
    <row r="35" spans="1:8" ht="18" x14ac:dyDescent="0.35">
      <c r="A35" s="26" t="s">
        <v>16</v>
      </c>
      <c r="B35" s="26" t="s">
        <v>22</v>
      </c>
      <c r="C35" s="26" t="s">
        <v>23</v>
      </c>
      <c r="D35" s="39"/>
      <c r="E35" s="12"/>
      <c r="F35" s="12"/>
      <c r="G35" s="12"/>
      <c r="H35" s="12"/>
    </row>
    <row r="36" spans="1:8" ht="18" x14ac:dyDescent="0.4">
      <c r="A36" s="26" t="s">
        <v>52</v>
      </c>
      <c r="B36" s="26">
        <f t="shared" ref="B36:B42" si="7">B25*$A$10+C25*$B$10+D25*$C$10+E25*$D$10</f>
        <v>0.5625</v>
      </c>
      <c r="C36" s="27"/>
      <c r="D36" s="23">
        <v>29</v>
      </c>
      <c r="E36" s="12"/>
      <c r="F36" s="12"/>
      <c r="G36" s="12"/>
      <c r="H36" s="12"/>
    </row>
    <row r="37" spans="1:8" ht="18" x14ac:dyDescent="0.35">
      <c r="A37" s="19" t="s">
        <v>53</v>
      </c>
      <c r="B37" s="26">
        <f t="shared" si="7"/>
        <v>0.4375</v>
      </c>
      <c r="C37" s="27"/>
      <c r="D37" s="27">
        <v>30</v>
      </c>
      <c r="E37" s="12"/>
      <c r="F37" s="12"/>
      <c r="G37" s="12"/>
      <c r="H37" s="12"/>
    </row>
    <row r="38" spans="1:8" ht="18" x14ac:dyDescent="0.35">
      <c r="A38" s="20" t="s">
        <v>54</v>
      </c>
      <c r="B38" s="26">
        <f t="shared" si="7"/>
        <v>0.375</v>
      </c>
      <c r="C38" s="27"/>
      <c r="D38" s="27">
        <v>35</v>
      </c>
      <c r="E38" s="12"/>
      <c r="F38" s="12"/>
      <c r="G38" s="12"/>
      <c r="H38" s="12"/>
    </row>
    <row r="39" spans="1:8" ht="18" x14ac:dyDescent="0.35">
      <c r="A39" s="20" t="s">
        <v>55</v>
      </c>
      <c r="B39" s="26">
        <f t="shared" si="7"/>
        <v>0.6875</v>
      </c>
      <c r="C39" s="27"/>
      <c r="D39" s="27">
        <v>36</v>
      </c>
      <c r="E39" s="12"/>
      <c r="F39" s="12"/>
      <c r="G39" s="12"/>
      <c r="H39" s="12"/>
    </row>
    <row r="40" spans="1:8" ht="18" x14ac:dyDescent="0.35">
      <c r="A40" s="20" t="s">
        <v>56</v>
      </c>
      <c r="B40" s="26">
        <f t="shared" si="7"/>
        <v>0.75</v>
      </c>
      <c r="C40" s="27"/>
      <c r="D40" s="27">
        <v>37</v>
      </c>
      <c r="E40" s="12"/>
      <c r="F40" s="12"/>
      <c r="G40" s="12"/>
      <c r="H40" s="12"/>
    </row>
    <row r="41" spans="1:8" ht="18" x14ac:dyDescent="0.35">
      <c r="A41" s="20" t="s">
        <v>57</v>
      </c>
      <c r="B41" s="26">
        <f t="shared" si="7"/>
        <v>0.5</v>
      </c>
      <c r="C41" s="27"/>
      <c r="D41" s="27">
        <v>38</v>
      </c>
      <c r="E41" s="12"/>
      <c r="F41" s="12"/>
      <c r="G41" s="12"/>
      <c r="H41" s="12"/>
    </row>
    <row r="42" spans="1:8" ht="18" x14ac:dyDescent="0.35">
      <c r="A42" s="20" t="s">
        <v>58</v>
      </c>
      <c r="B42" s="26">
        <f t="shared" si="7"/>
        <v>0.625</v>
      </c>
      <c r="C42" s="27"/>
      <c r="D42" s="27">
        <v>50</v>
      </c>
      <c r="E42" s="12"/>
      <c r="F42" s="12"/>
      <c r="G42" s="12"/>
      <c r="H42" s="12"/>
    </row>
  </sheetData>
  <mergeCells count="13">
    <mergeCell ref="B6:C6"/>
    <mergeCell ref="A1:C1"/>
    <mergeCell ref="B2:C2"/>
    <mergeCell ref="B3:C3"/>
    <mergeCell ref="B4:C4"/>
    <mergeCell ref="B5:C5"/>
    <mergeCell ref="F12:F13"/>
    <mergeCell ref="F23:F24"/>
    <mergeCell ref="A34:C34"/>
    <mergeCell ref="D34:D35"/>
    <mergeCell ref="A8:D8"/>
    <mergeCell ref="A12:E12"/>
    <mergeCell ref="A23:E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62821</dc:creator>
  <cp:lastModifiedBy>62821</cp:lastModifiedBy>
  <dcterms:created xsi:type="dcterms:W3CDTF">2021-02-24T08:04:09Z</dcterms:created>
  <dcterms:modified xsi:type="dcterms:W3CDTF">2021-04-11T05:26:59Z</dcterms:modified>
</cp:coreProperties>
</file>